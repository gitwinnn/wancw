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材料DB" sheetId="2" state="visible" r:id="rId4"/>
    <sheet name="形状" sheetId="3" state="visible" r:id="rId5"/>
    <sheet name="断面" sheetId="4" state="visible" r:id="rId6"/>
    <sheet name="固有振動数" sheetId="5" state="visible" r:id="rId7"/>
    <sheet name="スペクトル" sheetId="6" state="visible" r:id="rId8"/>
    <sheet name="実測比較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<sst xmlns="http://schemas.openxmlformats.org/spreadsheetml/2006/main" count="449" uniqueCount="349">
  <si>
    <t xml:space="preserve">ブレーキパッド 金属部（摩擦材抜き）固有振動数予測ブック</t>
  </si>
  <si>
    <t xml:space="preserve">裏板＋シムだけの状態（摩擦材を貼る前）で、ハンマリング試験・PSV-400スキャン試験に向けた予測ピークを出す専用ブック  |  Ver 1.0</t>
  </si>
  <si>
    <t xml:space="preserve">■ このブックを作った理由（前提の確認）</t>
  </si>
  <si>
    <t xml:space="preserve">ご依頼「ハンマリングとトップラー試験に向けて、金属部分だけ・摩擦材抜きで計算したい」に対応。『トップラー試験』は文脈上『PSV-400（レーザードップラー振動計）でのスキャン試験』と解釈しました。違う意味であれば教えてください。 🟡 解釈</t>
  </si>
  <si>
    <t xml:space="preserve">摩擦材を貼った完成パッドの予測は、ナリッジの「ブレーキパッド固有振動数予測.xlsx」を使ってください。このブックは裏板単体・裏板+シムなど、金属だけの状態専用です。</t>
  </si>
  <si>
    <t xml:space="preserve">■ このブックで何ができるか</t>
  </si>
  <si>
    <t xml:space="preserve">① 順算（じゅんざん）</t>
  </si>
  <si>
    <t xml:space="preserve">材質と寸法を入れる → 金属部だけの固有振動数を予測</t>
  </si>
  <si>
    <t xml:space="preserve">シート：形状 → 断面 → 固有振動数</t>
  </si>
  <si>
    <t xml:space="preserve">② スペクトル</t>
  </si>
  <si>
    <t xml:space="preserve">予測した山（ピーク）を並べて、FFT画面そっくりのグラフを作る</t>
  </si>
  <si>
    <t xml:space="preserve">シート：スペクトル</t>
  </si>
  <si>
    <t xml:space="preserve">③ 実測比較</t>
  </si>
  <si>
    <t xml:space="preserve">ハンマリング試験・PSV-400スキャンで測った周波数を入力 → ズレ%判定＋裏板Eの逆算</t>
  </si>
  <si>
    <t xml:space="preserve">シート：実測比較</t>
  </si>
  <si>
    <t xml:space="preserve">■ 摩擦材込みブックとの違い（3つだけ覚えればOK）</t>
  </si>
  <si>
    <t xml:space="preserve">① 断面シートの層数</t>
  </si>
  <si>
    <t xml:space="preserve">シム・裏板・接着(任意)の3層のみ。摩擦材の行はそもそもありません</t>
  </si>
  <si>
    <t xml:space="preserve">🟢</t>
  </si>
  <si>
    <t xml:space="preserve">② 鳴きリスク・逆算(摩擦材)シートは無し</t>
  </si>
  <si>
    <t xml:space="preserve">鳴き判定にはローター(ディスク)側の情報が必要で、金属部単体では評価できないため</t>
  </si>
  <si>
    <t xml:space="preserve">🟡</t>
  </si>
  <si>
    <t xml:space="preserve">③ 予測周波数がかなり高く出る</t>
  </si>
  <si>
    <t xml:space="preserve">摩擦材の重さが無いぶん軽く、剛性も高いため。スペクトルの周波数範囲を広め(既定0〜40kHz)にしています</t>
  </si>
  <si>
    <t xml:space="preserve">■ 触（さわ）るセルの色分け</t>
  </si>
  <si>
    <t xml:space="preserve">アンバー（茶色）のセル</t>
  </si>
  <si>
    <t xml:space="preserve">あなたが入力するところ。ここだけ触ればOK</t>
  </si>
  <si>
    <t xml:space="preserve">入力</t>
  </si>
  <si>
    <t xml:space="preserve">グリーンのセル</t>
  </si>
  <si>
    <t xml:space="preserve">自動計算の結果。触ると壊（こわ）れます</t>
  </si>
  <si>
    <t xml:space="preserve">出力</t>
  </si>
  <si>
    <t xml:space="preserve">グレーのセル</t>
  </si>
  <si>
    <t xml:space="preserve">計算の途中（とちゅう）。見なくてよい</t>
  </si>
  <si>
    <t xml:space="preserve">中間</t>
  </si>
  <si>
    <t xml:space="preserve">■ 使う順番（この順で必ず動きます）</t>
  </si>
  <si>
    <t xml:space="preserve">STEP 1</t>
  </si>
  <si>
    <t xml:space="preserve">「材料DB」で使う材料（裏板の鋼種・シムの有無）を確認</t>
  </si>
  <si>
    <t xml:space="preserve">STEP 2</t>
  </si>
  <si>
    <t xml:space="preserve">「形状」に 金属スケルトンの外形の頂点座標（X,Y）を入力</t>
  </si>
  <si>
    <t xml:space="preserve">通常はパッド全体と同じ形でOK（プリセットが最初から入っています）</t>
  </si>
  <si>
    <t xml:space="preserve">STEP 3</t>
  </si>
  <si>
    <t xml:space="preserve">「断面」で シム(使う場合のみ1にする)・裏板 の材料と厚さを入力</t>
  </si>
  <si>
    <t xml:space="preserve">裏板の厚さ・材料名は必ず現物の刻印/図面で確認</t>
  </si>
  <si>
    <t xml:space="preserve">STEP 4</t>
  </si>
  <si>
    <t xml:space="preserve">「固有振動数」を見る → 予測ピーク一覧が出る</t>
  </si>
  <si>
    <t xml:space="preserve">STEP 5</t>
  </si>
  <si>
    <t xml:space="preserve">「スペクトル」でグラフ確認。A〜E列をコピーすれば他ソフトに貼れる</t>
  </si>
  <si>
    <t xml:space="preserve">STEP 6</t>
  </si>
  <si>
    <t xml:space="preserve">ハンマリング試験・PSV-400スキャンを実施</t>
  </si>
  <si>
    <t xml:space="preserve">面外曲げ1次(表の1番上)を最初に狙うと見つけやすい</t>
  </si>
  <si>
    <t xml:space="preserve">STEP 7</t>
  </si>
  <si>
    <t xml:space="preserve">実測できたら「実測比較」に周波数を入力 → ズレ%と裏板Eの逆算値を確認</t>
  </si>
  <si>
    <t xml:space="preserve">■ 信頼度マーク</t>
  </si>
  <si>
    <t xml:space="preserve">🟢 検証済み</t>
  </si>
  <si>
    <t xml:space="preserve">教科書・規格に載っている確立した式。そのまま信じてよい</t>
  </si>
  <si>
    <t xml:space="preserve">🟡 推定</t>
  </si>
  <si>
    <t xml:space="preserve">妥当（だとう）だが近似。実測で校正（こうせい）してから使う</t>
  </si>
  <si>
    <t xml:space="preserve">🔴 要確認</t>
  </si>
  <si>
    <t xml:space="preserve">値のばらつきが大きい。必ず自分で測る</t>
  </si>
  <si>
    <t xml:space="preserve">■ 重要な前提（ここを外すと全部ずれます）</t>
  </si>
  <si>
    <t xml:space="preserve">自由−自由（free-free）</t>
  </si>
  <si>
    <t xml:space="preserve">ピアノ線で吊（つ）った状態＝どこも固定していない状態を仮定</t>
  </si>
  <si>
    <t xml:space="preserve">はり（梁）近似</t>
  </si>
  <si>
    <t xml:space="preserve">パッドを「円周方向に長い1本の棒」とみなす。曲率は無視</t>
  </si>
  <si>
    <t xml:space="preserve">裏板・シムの厚さ／材質</t>
  </si>
  <si>
    <t xml:space="preserve">図面値ではなく、必ずノギス・マイクロメータで現物実測してから入力する</t>
  </si>
  <si>
    <t xml:space="preserve">🔴</t>
  </si>
  <si>
    <t xml:space="preserve">質量チェックが命綱</t>
  </si>
  <si>
    <t xml:space="preserve">断面シートの「質量[g]」を電子天秤の実測値と必ず突き合わせる。ズレていれば厚さor材質入力が間違っている</t>
  </si>
  <si>
    <t xml:space="preserve">この予測は CEA ではない</t>
  </si>
  <si>
    <t xml:space="preserve">あくまで金属部単体の目安。摩擦材を貼った後の鳴き判定は複素固有値解析(CEA)で行う</t>
  </si>
  <si>
    <t xml:space="preserve">■ よくあるミス</t>
  </si>
  <si>
    <t xml:space="preserve">・断面シートで使わない層の「使用1/0」を1のままにしてしまう → 意図しない層が計算に混入する</t>
  </si>
  <si>
    <t xml:space="preserve">・形状シートの頂点を外周に沿った順番で入れていない（飛び飛びの順） → 面積・重心が壊れる（入力チェックがNGになるので分かる）</t>
  </si>
  <si>
    <t xml:space="preserve">・裏板の厚さをプレス後の実測値ではなく図面公称値のまま使う → 数%〜10%のズレの主因になりやすい</t>
  </si>
  <si>
    <t xml:space="preserve">・スペクトルの周波数範囲が予測ピークより低いまま → グラフに何も山が出ない（開始・Δfを調整する）</t>
  </si>
  <si>
    <t xml:space="preserve">材料データベース（金属・シムのみ／摩擦材は含みません）</t>
  </si>
  <si>
    <t xml:space="preserve">E=ヤング率（かたさ）／ρ=密度（重さ）／ν=ポアソン比／η=損失係数（振動の減りやすさ）</t>
  </si>
  <si>
    <t xml:space="preserve">材料名</t>
  </si>
  <si>
    <t xml:space="preserve">E [GPa]</t>
  </si>
  <si>
    <t xml:space="preserve">ρ [kg/m³]</t>
  </si>
  <si>
    <t xml:space="preserve">ν</t>
  </si>
  <si>
    <t xml:space="preserve">η(目安)</t>
  </si>
  <si>
    <t xml:space="preserve">分類</t>
  </si>
  <si>
    <t xml:space="preserve">信頼度</t>
  </si>
  <si>
    <t xml:space="preserve">出典・備考</t>
  </si>
  <si>
    <t xml:space="preserve">鋼 SPCC(裏板)</t>
  </si>
  <si>
    <t xml:space="preserve">金属</t>
  </si>
  <si>
    <t xml:space="preserve">JIS一般値 / 鋼のEは190-210GPa</t>
  </si>
  <si>
    <t xml:space="preserve">鋼 SS400</t>
  </si>
  <si>
    <t xml:space="preserve">JIS一般値</t>
  </si>
  <si>
    <t xml:space="preserve">鋼 S45C</t>
  </si>
  <si>
    <t xml:space="preserve">ステンレス SUS304</t>
  </si>
  <si>
    <t xml:space="preserve">ばね鋼 SUP9</t>
  </si>
  <si>
    <t xml:space="preserve">ねずみ鋳鉄 FC250</t>
  </si>
  <si>
    <t xml:space="preserve">90-120GPaの幅あり。黒鉛量で変化</t>
  </si>
  <si>
    <t xml:space="preserve">アルミ A5052</t>
  </si>
  <si>
    <t xml:space="preserve">アルミ A6061-T6</t>
  </si>
  <si>
    <t xml:space="preserve">チタン Ti-6Al-4V</t>
  </si>
  <si>
    <t xml:space="preserve">ASTM Grade5</t>
  </si>
  <si>
    <t xml:space="preserve">銅 C1100</t>
  </si>
  <si>
    <t xml:space="preserve">黄銅 C2600</t>
  </si>
  <si>
    <t xml:space="preserve">シム鋼板 SPCC</t>
  </si>
  <si>
    <t xml:space="preserve">シム</t>
  </si>
  <si>
    <t xml:space="preserve">シム制振ゴム NBR(軟)</t>
  </si>
  <si>
    <t xml:space="preserve">温度・周波数依存が非常に大</t>
  </si>
  <si>
    <t xml:space="preserve">シム制振ゴム NBR(硬)</t>
  </si>
  <si>
    <t xml:space="preserve">同上</t>
  </si>
  <si>
    <t xml:space="preserve">チタンシム</t>
  </si>
  <si>
    <t xml:space="preserve">接着層(汎用/シム固定用)</t>
  </si>
  <si>
    <t xml:space="preserve">接着</t>
  </si>
  <si>
    <t xml:space="preserve">推定。シムを裏板に接着・スポット固定する場合のみ使用</t>
  </si>
  <si>
    <t xml:space="preserve">(未使用)</t>
  </si>
  <si>
    <t xml:space="preserve">-</t>
  </si>
  <si>
    <t xml:space="preserve">空欄行。使わない層に指定する</t>
  </si>
  <si>
    <t xml:space="preserve">※ 行を追加するときは 45行目までに書けば全シートが自動で拾います（数式の参照範囲は $A$5:$A$45）。</t>
  </si>
  <si>
    <t xml:space="preserve">※ このブックは摩擦材を含みません。摩擦材込みの計算は「ナリッジのブレーキパッド固有振動数予測.xlsx」を使ってください。</t>
  </si>
  <si>
    <t xml:space="preserve">① 形状入力（金属スケルトンの外形を多角形で入力）</t>
  </si>
  <si>
    <t xml:space="preserve">X=円周方向（長手）、Y=半径方向。単位はすべて mm。頂点は最大16点。反時計回り・時計回りどちらでもOK。通常はパッド全体の外形と同じ形を入力すればOK（裏板は摩擦材とほぼ同じ外形のため）。裏板に耳・タブ等があり形が違う場合はその輪郭を入力してください。</t>
  </si>
  <si>
    <t xml:space="preserve">頂点数 N</t>
  </si>
  <si>
    <t xml:space="preserve">向き s (+1=反時計/-1=時計)</t>
  </si>
  <si>
    <t xml:space="preserve">No</t>
  </si>
  <si>
    <t xml:space="preserve">X [mm]</t>
  </si>
  <si>
    <t xml:space="preserve">Y [mm]</t>
  </si>
  <si>
    <t xml:space="preserve">使用</t>
  </si>
  <si>
    <t xml:space="preserve">次X</t>
  </si>
  <si>
    <t xml:space="preserve">次Y</t>
  </si>
  <si>
    <t xml:space="preserve">前X</t>
  </si>
  <si>
    <t xml:space="preserve">前Y</t>
  </si>
  <si>
    <t xml:space="preserve">外積項</t>
  </si>
  <si>
    <t xml:space="preserve">辺長</t>
  </si>
  <si>
    <t xml:space="preserve">Ixx項</t>
  </si>
  <si>
    <t xml:space="preserve">Iyy項</t>
  </si>
  <si>
    <t xml:space="preserve">Ixy項</t>
  </si>
  <si>
    <t xml:space="preserve">Cx項</t>
  </si>
  <si>
    <t xml:space="preserve">Cy項</t>
  </si>
  <si>
    <t xml:space="preserve">内積</t>
  </si>
  <si>
    <t xml:space="preserve">外積</t>
  </si>
  <si>
    <t xml:space="preserve">内角 [°]</t>
  </si>
  <si>
    <t xml:space="preserve">外角 [°]</t>
  </si>
  <si>
    <t xml:space="preserve">出隅/入隅</t>
  </si>
  <si>
    <t xml:space="preserve">■ プリセット（コピーして B6:C21 に貼る）</t>
  </si>
  <si>
    <t xml:space="preserve">■ 形状の計算結果</t>
  </si>
  <si>
    <t xml:space="preserve">符号付き面積 [mm²]</t>
  </si>
  <si>
    <t xml:space="preserve">多角形の向き判定に使う（＋なら反時計回り）</t>
  </si>
  <si>
    <t xml:space="preserve">面積 A [mm²]</t>
  </si>
  <si>
    <t xml:space="preserve">シューレース公式 A=½|Σ(xᵢyᵢ₊₁−xᵢ₊₁yᵢ)|  🟢</t>
  </si>
  <si>
    <t xml:space="preserve">周長 [mm]</t>
  </si>
  <si>
    <t xml:space="preserve">重心 Cx [mm]</t>
  </si>
  <si>
    <t xml:space="preserve">図心のX座標  🟢</t>
  </si>
  <si>
    <t xml:space="preserve">重心 Cy [mm]</t>
  </si>
  <si>
    <t xml:space="preserve">図心のY座標  🟢</t>
  </si>
  <si>
    <t xml:space="preserve">Ixx (重心まわり) [mm⁴]</t>
  </si>
  <si>
    <t xml:space="preserve">X軸まわり断面二次モーメント  🟢</t>
  </si>
  <si>
    <t xml:space="preserve">Iyy (重心まわり) [mm⁴]</t>
  </si>
  <si>
    <t xml:space="preserve">Y軸まわり  🟢</t>
  </si>
  <si>
    <t xml:space="preserve">Ixy (重心まわり) [mm⁴]</t>
  </si>
  <si>
    <t xml:space="preserve">相乗モーメント  🟢</t>
  </si>
  <si>
    <t xml:space="preserve">Imin [mm⁴]</t>
  </si>
  <si>
    <t xml:space="preserve">Imax [mm⁴]</t>
  </si>
  <si>
    <t xml:space="preserve">主軸角 θp [°]</t>
  </si>
  <si>
    <t xml:space="preserve">tan2θ=−2Ixy/(Ixx−Iyy)  🟢</t>
  </si>
  <si>
    <t xml:space="preserve">θpでのI [mm⁴]</t>
  </si>
  <si>
    <t xml:space="preserve">長手方向の角度 [°]</t>
  </si>
  <si>
    <t xml:space="preserve">0°に近いほど X軸＝長手。大きくずれたら座標を回して入れ直す</t>
  </si>
  <si>
    <t xml:space="preserve">Xmin [mm]</t>
  </si>
  <si>
    <t xml:space="preserve">Xmax [mm]</t>
  </si>
  <si>
    <t xml:space="preserve">Ymin [mm]</t>
  </si>
  <si>
    <t xml:space="preserve">Ymax [mm]</t>
  </si>
  <si>
    <t xml:space="preserve">X方向の長さ [mm]</t>
  </si>
  <si>
    <t xml:space="preserve">Y方向の長さ [mm]</t>
  </si>
  <si>
    <t xml:space="preserve">推奨 L（長手長さ）[mm]</t>
  </si>
  <si>
    <t xml:space="preserve">はり（梁）の長さとして使う値</t>
  </si>
  <si>
    <t xml:space="preserve">推奨 w（等価幅）[mm]</t>
  </si>
  <si>
    <t xml:space="preserve">面積 ÷ 長さ ＝ 平均の幅（凸凹をならした幅）</t>
  </si>
  <si>
    <t xml:space="preserve">■ 実際に使う寸法（手入力で上書きしたい場合は D 列に書く／空欄なら推奨値を自動採用）</t>
  </si>
  <si>
    <t xml:space="preserve">採用 L（長手長さ）[mm]</t>
  </si>
  <si>
    <t xml:space="preserve">← 手入力で上書き:</t>
  </si>
  <si>
    <t xml:space="preserve">採用 w（幅）[mm]</t>
  </si>
  <si>
    <t xml:space="preserve">■ 頂点数チェック</t>
  </si>
  <si>
    <t xml:space="preserve">入隅（凹み）の数</t>
  </si>
  <si>
    <t xml:space="preserve">スリット・面取りがあると入隅ができる。0なら完全な凸多角形</t>
  </si>
  <si>
    <t xml:space="preserve">内角の合計 [°]</t>
  </si>
  <si>
    <t xml:space="preserve">内角合計の理論値 [°]</t>
  </si>
  <si>
    <t xml:space="preserve">入力チェック</t>
  </si>
  <si>
    <t xml:space="preserve">NGなら頂点を「外周に沿った順番」に並べ直す（飛び飛びはダメ）</t>
  </si>
  <si>
    <t xml:space="preserve">② 断面（積層）— シム＋裏板（＋任意で接着/固定層）を1本の「はり」に合成　※摩擦材は含みません</t>
  </si>
  <si>
    <t xml:space="preserve">変換断面法（transformed section）で 曲げ剛性EI・単位長さ質量ρA・中立軸を求める（摩擦材を含む計算式と同じ手法。層数だけ減らしています）  🟢</t>
  </si>
  <si>
    <t xml:space="preserve">幅 b [m]（＝形状シートの採用w）</t>
  </si>
  <si>
    <t xml:space="preserve">長さ L [m]（＝形状シートの採用L）</t>
  </si>
  <si>
    <t xml:space="preserve">投影面積 [m²]</t>
  </si>
  <si>
    <t xml:space="preserve">層（下から順）</t>
  </si>
  <si>
    <t xml:space="preserve">使用1/0</t>
  </si>
  <si>
    <t xml:space="preserve">材料名（材料DBと同じ文字）</t>
  </si>
  <si>
    <t xml:space="preserve">厚さ t [mm]</t>
  </si>
  <si>
    <t xml:space="preserve">η</t>
  </si>
  <si>
    <t xml:space="preserve">t [m]</t>
  </si>
  <si>
    <t xml:space="preserve">下端y [m]</t>
  </si>
  <si>
    <t xml:space="preserve">中心y [m]</t>
  </si>
  <si>
    <t xml:space="preserve">E・A [N]</t>
  </si>
  <si>
    <t xml:space="preserve">E・A・y</t>
  </si>
  <si>
    <t xml:space="preserve">ρ・A [kg/m]</t>
  </si>
  <si>
    <t xml:space="preserve">EI項(面外)</t>
  </si>
  <si>
    <t xml:space="preserve">EI項(面内)</t>
  </si>
  <si>
    <t xml:space="preserve">E・A(軸)</t>
  </si>
  <si>
    <t xml:space="preserve">η・EI項</t>
  </si>
  <si>
    <t xml:space="preserve">1: シム</t>
  </si>
  <si>
    <t xml:space="preserve">2: 裏板</t>
  </si>
  <si>
    <t xml:space="preserve">3: 接着/固定(任意)</t>
  </si>
  <si>
    <t xml:space="preserve">■ 合成結果</t>
  </si>
  <si>
    <t xml:space="preserve">ΣE・A [N]</t>
  </si>
  <si>
    <t xml:space="preserve">各層の 弾性率×断面積 の合計</t>
  </si>
  <si>
    <t xml:space="preserve">中立軸 ȳ [m]</t>
  </si>
  <si>
    <t xml:space="preserve">曲げても伸び縮みしない高さ。下端からの距離  🟢</t>
  </si>
  <si>
    <t xml:space="preserve">EI 面外曲げ [N・m²]</t>
  </si>
  <si>
    <t xml:space="preserve">厚み方向にたわむ剛性。金属スケルトンの主モードはこれ  🟢</t>
  </si>
  <si>
    <t xml:space="preserve">EI 面内曲げ [N・m²]</t>
  </si>
  <si>
    <t xml:space="preserve">面内（半径方向）にたわむ剛性。高周波側  🟢</t>
  </si>
  <si>
    <t xml:space="preserve">EA 軸 [N]</t>
  </si>
  <si>
    <t xml:space="preserve">伸び縮みの剛性  🟢</t>
  </si>
  <si>
    <t xml:space="preserve">ρA 単位長さ質量 [kg/m]</t>
  </si>
  <si>
    <t xml:space="preserve">1mあたりの重さ  🟢</t>
  </si>
  <si>
    <t xml:space="preserve">総厚 h [m]</t>
  </si>
  <si>
    <t xml:space="preserve">使用する層の厚さ合計</t>
  </si>
  <si>
    <t xml:space="preserve">等価ヤング率 E_eq(面外) [GPa]</t>
  </si>
  <si>
    <t xml:space="preserve">1枚板とみなしたときの見かけのE</t>
  </si>
  <si>
    <t xml:space="preserve">等価密度 ρ_eq [kg/m³]</t>
  </si>
  <si>
    <t xml:space="preserve">1枚板とみなしたときの見かけのρ</t>
  </si>
  <si>
    <t xml:space="preserve">等価ポアソン比 ν_eq</t>
  </si>
  <si>
    <t xml:space="preserve">E・Aで重み付け平均</t>
  </si>
  <si>
    <t xml:space="preserve">等価せん断弾性率 G_eq [Pa]</t>
  </si>
  <si>
    <t xml:space="preserve">G=E/(2(1+ν))  🟢</t>
  </si>
  <si>
    <t xml:space="preserve">ねじり係数 β</t>
  </si>
  <si>
    <t xml:space="preserve">長方形断面のねじり定数 J=β・b・h³ 🟢 Roark近似</t>
  </si>
  <si>
    <t xml:space="preserve">GJ ねじり剛性 [N・m²]</t>
  </si>
  <si>
    <t xml:space="preserve">ねじりにくさ  🟡(積層は近似)</t>
  </si>
  <si>
    <t xml:space="preserve">ρIp 単位長さ極慣性 [kg・m]</t>
  </si>
  <si>
    <t xml:space="preserve">ねじりの回りにくさ  🟡</t>
  </si>
  <si>
    <t xml:space="preserve">合成損失係数 η_eq</t>
  </si>
  <si>
    <t xml:space="preserve">EI重み付け平均（RKU法の簡易版）🟡</t>
  </si>
  <si>
    <t xml:space="preserve">質量 [g]</t>
  </si>
  <si>
    <t xml:space="preserve">実測して合っていれば厚さ・密度入力は正しい（ハンマリング前に電子天秤で必ず実測）</t>
  </si>
  <si>
    <t xml:space="preserve">■ 中立軸の意味（ここが一番の勘どころ）</t>
  </si>
  <si>
    <t xml:space="preserve">曲げると、上側は縮み・下側は伸びる。その境目で「伸びも縮みもしない面」が中立軸（ちゅうりつじく）です。</t>
  </si>
  <si>
    <t xml:space="preserve">このブックはシム(オプション)＋裏板だけなので、シムをONにしていない限り中立軸はほぼ裏板の中心に一致します。</t>
  </si>
  <si>
    <t xml:space="preserve">摩擦材が無い分、剛性(EI)は下がり、質量(ρA)も大きく下がります。全体として固有振動数は摩擦材込みのときよりかなり高く出ます。</t>
  </si>
  <si>
    <t xml:space="preserve">③ 固有振動数の予測（自由−自由：ピアノ線で吊った状態／金属スケルトンのみ）</t>
  </si>
  <si>
    <t xml:space="preserve">4系統：①面外曲げ ②ねじり ③面内曲げ ④面内伸縮。せん断変形（Timoshenko）補正つき。単位は Hz。式は摩擦材込みブックと完全に同じです  🟢</t>
  </si>
  <si>
    <t xml:space="preserve">損失係数 η（空欄→断面シートの合成値）</t>
  </si>
  <si>
    <t xml:space="preserve">せん断補正 使う=1 / 使わない=0</t>
  </si>
  <si>
    <t xml:space="preserve">κ(長方形=5/6)</t>
  </si>
  <si>
    <t xml:space="preserve">回転半径 r_out [m] = h/√12</t>
  </si>
  <si>
    <t xml:space="preserve">r_in = w/√12</t>
  </si>
  <si>
    <t xml:space="preserve">1+E/(κG)</t>
  </si>
  <si>
    <t xml:space="preserve">#</t>
  </si>
  <si>
    <t xml:space="preserve">モード種別</t>
  </si>
  <si>
    <t xml:space="preserve">n</t>
  </si>
  <si>
    <t xml:space="preserve">係数 (βL) or n</t>
  </si>
  <si>
    <t xml:space="preserve">(βL)²</t>
  </si>
  <si>
    <t xml:space="preserve">f Euler [Hz]</t>
  </si>
  <si>
    <t xml:space="preserve">せん断補正係数</t>
  </si>
  <si>
    <t xml:space="preserve">f 補正後 [Hz]</t>
  </si>
  <si>
    <t xml:space="preserve">★採用 f [Hz]</t>
  </si>
  <si>
    <t xml:space="preserve">波長 λ [mm]</t>
  </si>
  <si>
    <t xml:space="preserve">λ/断面寸法</t>
  </si>
  <si>
    <t xml:space="preserve">妥当性</t>
  </si>
  <si>
    <t xml:space="preserve">備考</t>
  </si>
  <si>
    <t xml:space="preserve">f [Hz]</t>
  </si>
  <si>
    <t xml:space="preserve">振幅 A</t>
  </si>
  <si>
    <t xml:space="preserve">面外曲げ</t>
  </si>
  <si>
    <t xml:space="preserve">板が反（そ）るように曲がる。金属スケルトンで一番低く出るモード群  🟢</t>
  </si>
  <si>
    <t xml:space="preserve">ねじり</t>
  </si>
  <si>
    <t xml:space="preserve">板がねじれる。1次ねじりは1次曲げの近くに出やすい  🟡</t>
  </si>
  <si>
    <t xml:space="preserve">面内曲げ</t>
  </si>
  <si>
    <t xml:space="preserve">面の中で（半径方向に）波打つ。曲げ剛性が高いぶん高い周波数に出る  🟢</t>
  </si>
  <si>
    <t xml:space="preserve">面内伸縮</t>
  </si>
  <si>
    <t xml:space="preserve">円周方向に伸び縮み。金属だけだと非常に高い周波数（数十kHz）になりやすい  🟢</t>
  </si>
  <si>
    <t xml:space="preserve">■ 使っている式（🟢＝教科書どおり／🟡＝妥当な近似）／摩擦材込みブックと同じ式です</t>
  </si>
  <si>
    <t xml:space="preserve">面外曲げ・面内曲げ</t>
  </si>
  <si>
    <t xml:space="preserve">f = (βL)² /(2π L²) × √(EI / ρA)</t>
  </si>
  <si>
    <t xml:space="preserve">自由−自由はり（Euler-Bernoulli）。βL = 4.7300, 7.8532, 10.9956, 14.1372, 17.2788, 20.4204（cos(βL)cosh(βL)=1 の解）  🟢</t>
  </si>
  <si>
    <t xml:space="preserve">周波数の比</t>
  </si>
  <si>
    <t xml:space="preserve">f₁ : f₂ : f₃ : f₄ = 1 : 2.757 : 5.404 : 8.933</t>
  </si>
  <si>
    <t xml:space="preserve">実測がこの比から外れたら「曲げモードではない」or「せん断が効いている」  🟢</t>
  </si>
  <si>
    <t xml:space="preserve">せん断補正</t>
  </si>
  <si>
    <t xml:space="preserve">f補正 = f / √(1 + (βL)²・(r/L)²・(1 + E/(κG)))</t>
  </si>
  <si>
    <t xml:space="preserve">Timoshenkoの一次近似。r=断面回転半径, κ=5/6。金属は薄いほど無視できる  🟡</t>
  </si>
  <si>
    <t xml:space="preserve">f = n /(2L) × √(GJ / ρIp)</t>
  </si>
  <si>
    <t xml:space="preserve">自由−自由ねじり棒。J=β・b・h³  🟢/🟡（積層のGJは近似）</t>
  </si>
  <si>
    <t xml:space="preserve">f = n /(2L) × √(EA / ρA)</t>
  </si>
  <si>
    <t xml:space="preserve">自由−自由の縦振動。棒の中の音速 c=√(E/ρ) の半波長ずつ  🟢</t>
  </si>
  <si>
    <t xml:space="preserve">波長</t>
  </si>
  <si>
    <t xml:space="preserve">λ = 2πL/(βL)（曲げ）、λ = 2L/n（ねじり・伸縮）</t>
  </si>
  <si>
    <t xml:space="preserve">λ/断面寸法 が小さいほど1次元はり近似が苦しい。6以上あれば安心  🟢</t>
  </si>
  <si>
    <t xml:space="preserve">最重要の性質</t>
  </si>
  <si>
    <t xml:space="preserve">f ∝ h / L²（均質1枚板のとき）</t>
  </si>
  <si>
    <t xml:space="preserve">厚さ2倍→周波数2倍。長さ2倍→周波数1/4。設計で一番効くのは L（長さ）  🟢</t>
  </si>
  <si>
    <t xml:space="preserve">■ 摩擦材込みブックとの違い（ここだけ読めばOK）</t>
  </si>
  <si>
    <t xml:space="preserve">・摩擦材が無いので剛性(EI)はやや下がりますが、質量(ρA)は大きく下がります。差し引き、周波数は摩擦材込みより高く出ます（数倍になることも普通）。</t>
  </si>
  <si>
    <t xml:space="preserve">・中立軸が裏板の中心付近に来るため、面外曲げの1次モードが最も低く・最も明瞭に出ます。ハンマリング試験ではまずこのモードを狙ってください。</t>
  </si>
  <si>
    <t xml:space="preserve">・摩擦材が無い分、減衰（η）はとても小さくなります。FFT画面ではピークが鋭く・高く出ます（スペクトルシート参照）。</t>
  </si>
  <si>
    <t xml:space="preserve">・測定した周波数は「実測比較」シートに入力すると、予測とのずれ(%)と、裏板ヤング率Eの逆算値が自動で出ます。</t>
  </si>
  <si>
    <t xml:space="preserve">④ スペクトル（FFT画面と同じ形のグラフ用データ）</t>
  </si>
  <si>
    <t xml:space="preserve">各モードを1自由度系として複素数で足し合わせ、応答の大きさ |H(f)| を作る（摩擦材込みブックと同じ手法）  🟢</t>
  </si>
  <si>
    <t xml:space="preserve">開始周波数 [Hz]</t>
  </si>
  <si>
    <t xml:space="preserve">刻み Δf [Hz]</t>
  </si>
  <si>
    <t xml:space="preserve">点数</t>
  </si>
  <si>
    <t xml:space="preserve">dB基準値</t>
  </si>
  <si>
    <t xml:space="preserve">※ 金属のみは周波数が高く出やすいので既定を0〜40000Hzにしています。ピークを拡大したいときは 開始・Δf を変更</t>
  </si>
  <si>
    <t xml:space="preserve">周波数 f [Hz]</t>
  </si>
  <si>
    <t xml:space="preserve">実部 Re</t>
  </si>
  <si>
    <t xml:space="preserve">虚部 Im</t>
  </si>
  <si>
    <t xml:space="preserve">応答 |H|</t>
  </si>
  <si>
    <t xml:space="preserve">レベル [dB]</t>
  </si>
  <si>
    <t xml:space="preserve">■ 使い方</t>
  </si>
  <si>
    <t xml:space="preserve">・A〜E列をそのままコピーすれば、gnuplot / Python / Origin / Excel の別グラフに貼れます。</t>
  </si>
  <si>
    <t xml:space="preserve">・CSVで欲しいときは A6:E1006 を選択 → 別シートに値貼り付け → 「CSVで保存」。</t>
  </si>
  <si>
    <t xml:space="preserve">・縦軸dBは相対値です。絶対値が必要なら実測FRFの1点で K3（基準値）を合わせてください。</t>
  </si>
  <si>
    <t xml:space="preserve">・山（ピーク）の高さは 1/η に比例します。金属だけだとηが非常に小さいので、山がとても鋭く・高くなります。</t>
  </si>
  <si>
    <t xml:space="preserve">・⚠ Δf（刻み）が半値幅より粗いと、山が低く・細く描かれます。ηが小さいときは刻みを細かく（例:1Hz）。</t>
  </si>
  <si>
    <t xml:space="preserve">⑤ 実測比較（ハンマリング試験・PSV-400スキャン試験の結果を記録）</t>
  </si>
  <si>
    <t xml:space="preserve">予測ピークの一覧に、実測した周波数[Hz]をアンバー色のセルへ入力すると、ズレ(%)と判定が自動で出ます  🟢</t>
  </si>
  <si>
    <t xml:space="preserve">予測 f [Hz]
（固有振動数シート）</t>
  </si>
  <si>
    <t xml:space="preserve">実測 f [Hz]
（ここに入力）</t>
  </si>
  <si>
    <t xml:space="preserve">ズレ [%]</t>
  </si>
  <si>
    <t xml:space="preserve">判定</t>
  </si>
  <si>
    <t xml:space="preserve">メモ（試験方法・実測方法など）</t>
  </si>
  <si>
    <t xml:space="preserve">■ 裏板ヤング率Eの逆算（もっとも確実な1次面外曲げモードのピークから）</t>
  </si>
  <si>
    <t xml:space="preserve">考え方：他の寸法・密度が正しければ f は √E に比例します。よって E_実際 = E_今の設定 ×（実測f ÷ 予測f）² で逆算できます。</t>
  </si>
  <si>
    <t xml:space="preserve">このせん断補正係数はEに依存しない式になっているため、この比例関係は近似ではなく、幾何形状・密度が正しい前提のもとで成立します  🟢</t>
  </si>
  <si>
    <t xml:space="preserve">対象モード</t>
  </si>
  <si>
    <t xml:space="preserve">（固定）上の表の1行目＝面外曲げ1次を参照</t>
  </si>
  <si>
    <t xml:space="preserve">← 例:「面外曲げ1次」。実測比較表の「モード種別」＋「n」と同じ書き方で</t>
  </si>
  <si>
    <t xml:space="preserve">予測 f [Hz]</t>
  </si>
  <si>
    <t xml:space="preserve">既定は面外曲げ1次(表の1行目)を参照。別モードで逆算したい場合はD5部分を書き換え</t>
  </si>
  <si>
    <t xml:space="preserve">実測 f [Hz]</t>
  </si>
  <si>
    <t xml:space="preserve">現在設定の裏板 E [GPa]</t>
  </si>
  <si>
    <t xml:space="preserve">断面シートの「2: 裏板」の材料DBから引いているE</t>
  </si>
  <si>
    <t xml:space="preserve">逆算した 裏板 E_実際 [GPa]</t>
  </si>
  <si>
    <t xml:space="preserve">🟢 シム・接着層をOFFのまま(裏板単体)で使うのが最も精度が良い</t>
  </si>
  <si>
    <t xml:space="preserve">■ さらに精密に逆算したいとき（ゴールシーク機能）</t>
  </si>
  <si>
    <t xml:space="preserve">上の逆算は「せん断補正」を含めても数式的に正しい比例式です。ただし n を含む複数モードを同時に合わせたい場合や、</t>
  </si>
  <si>
    <t xml:space="preserve">E以外（厚さt・密度ρ）も同時に不確かな場合は、Excelの「ゴールシーク」機能を使うとより柔軟です。</t>
  </si>
  <si>
    <t xml:space="preserve">① データタブ → What-If分析 → ゴールシーク</t>
  </si>
  <si>
    <t xml:space="preserve">② 「数式入力セル」に 固有振動数!I6（=1次面外曲げの予測f）を指定</t>
  </si>
  <si>
    <t xml:space="preserve">③ 「目標値」に実測した周波数[Hz]を入力</t>
  </si>
  <si>
    <t xml:space="preserve">④ 「変化させるセル」に 断面!E9（裏板のE、GPa単位の材料DB参照を外して直接数値を入れておく必要あり）を指定</t>
  </si>
  <si>
    <t xml:space="preserve">⑤ OKを押すと、断面!E9が実測に一致するE値まで自動で調整されます（元の材料DB参照式は上書きされるので、</t>
  </si>
  <si>
    <t xml:space="preserve">　試す前に断面シートをコピーしておくと安全です）。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</si>
</sst>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###"/>
    <numFmt numFmtId="166" formatCode="0"/>
    <numFmt numFmtId="167" formatCode="0.00"/>
    <numFmt numFmtId="168" formatCode="0.0000"/>
    <numFmt numFmtId="169" formatCode="0.000000"/>
    <numFmt numFmtId="170" formatCode="General"/>
    <numFmt numFmtId="171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FD1E5"/>
      <name val="Noto Sans CJK SC"/>
      <family val="0"/>
      <charset val="1"/>
    </font>
    <font>
      <sz val="9"/>
      <color rgb="FFA0A6B0"/>
      <name val="Noto Sans CJK SC"/>
      <family val="0"/>
      <charset val="1"/>
    </font>
    <font>
      <b val="true"/>
      <sz val="11"/>
      <color rgb="FFFFD166"/>
      <name val="Noto Sans CJK SC"/>
      <family val="0"/>
      <charset val="1"/>
    </font>
    <font>
      <sz val="9"/>
      <color rgb="FFFF7A7A"/>
      <name val="Noto Sans CJK SC"/>
      <family val="0"/>
      <charset val="1"/>
    </font>
    <font>
      <b val="true"/>
      <sz val="11"/>
      <color rgb="FFE6E6E6"/>
      <name val="Noto Sans CJK SC"/>
      <family val="0"/>
      <charset val="1"/>
    </font>
    <font>
      <sz val="10"/>
      <color rgb="FFE6E6E6"/>
      <name val="Noto Sans CJK SC"/>
      <family val="0"/>
      <charset val="1"/>
    </font>
    <font>
      <b val="true"/>
      <sz val="11"/>
      <color rgb="FFFFA45B"/>
      <name val="Noto Sans CJK SC"/>
      <family val="0"/>
      <charset val="1"/>
    </font>
    <font>
      <b val="true"/>
      <sz val="11"/>
      <color rgb="FF6EE7A0"/>
      <name val="Noto Sans CJK SC"/>
      <family val="0"/>
      <charset val="1"/>
    </font>
    <font>
      <b val="true"/>
      <sz val="10"/>
      <color rgb="FFFFD166"/>
      <name val="Noto Sans CJK SC"/>
      <family val="0"/>
      <charset val="1"/>
    </font>
    <font>
      <sz val="10"/>
      <color rgb="FFE6E6E6"/>
      <name val="Arial"/>
      <family val="0"/>
      <charset val="1"/>
    </font>
    <font>
      <b val="true"/>
      <sz val="11"/>
      <color rgb="FF6EE7A0"/>
      <name val="Arial"/>
      <family val="0"/>
      <charset val="1"/>
    </font>
    <font>
      <b val="true"/>
      <sz val="11"/>
      <color rgb="FFFFA45B"/>
      <name val="Arial"/>
      <family val="0"/>
      <charset val="1"/>
    </font>
    <font>
      <sz val="9"/>
      <color rgb="FFA0A6B0"/>
      <name val="Arial"/>
      <family val="0"/>
      <charset val="1"/>
    </font>
    <font>
      <sz val="10"/>
      <color rgb="FFE6E6E6"/>
      <name val="Noto Sans CJK SC"/>
      <family val="2"/>
    </font>
    <font>
      <sz val="9"/>
      <color rgb="FFE6E6E6"/>
      <name val="Noto Sans CJK S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3294B"/>
        <bgColor rgb="FF12302A"/>
      </patternFill>
    </fill>
    <fill>
      <patternFill patternType="solid">
        <fgColor rgb="FF23262E"/>
        <bgColor rgb="FF1B1D23"/>
      </patternFill>
    </fill>
    <fill>
      <patternFill patternType="solid">
        <fgColor rgb="FF1B1D23"/>
        <bgColor rgb="FF23262E"/>
      </patternFill>
    </fill>
    <fill>
      <patternFill patternType="solid">
        <fgColor rgb="FF3A2E12"/>
        <bgColor rgb="FF23262E"/>
      </patternFill>
    </fill>
    <fill>
      <patternFill patternType="solid">
        <fgColor rgb="FF12302A"/>
        <bgColor rgb="FF23262E"/>
      </patternFill>
    </fill>
    <fill>
      <patternFill patternType="solid">
        <fgColor rgb="FF2F3A4A"/>
        <bgColor rgb="FF23262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B1D23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A7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6EE7A0"/>
      <rgbColor rgb="FFFF99CC"/>
      <rgbColor rgb="FFCC99FF"/>
      <rgbColor rgb="FFFFD166"/>
      <rgbColor rgb="FF3366FF"/>
      <rgbColor rgb="FF4FD1E5"/>
      <rgbColor rgb="FF99CC00"/>
      <rgbColor rgb="FFFFCC00"/>
      <rgbColor rgb="FFFFA45B"/>
      <rgbColor rgb="FFFF6600"/>
      <rgbColor rgb="FF666699"/>
      <rgbColor rgb="FFA0A6B0"/>
      <rgbColor rgb="FF13294B"/>
      <rgbColor rgb="FF339966"/>
      <rgbColor rgb="FF12302A"/>
      <rgbColor rgb="FF3A2E12"/>
      <rgbColor rgb="FF993300"/>
      <rgbColor rgb="FF993366"/>
      <rgbColor rgb="FF23262E"/>
      <rgbColor rgb="FF2F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4.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14.15" hidden="false" customHeight="false" outlineLevel="0" collapsed="false">
      <c r="A5" s="4" t="s">
        <v>3</v>
      </c>
      <c r="B5" s="4"/>
      <c r="C5" s="4"/>
    </row>
    <row r="6" customFormat="false" ht="14.15" hidden="false" customHeight="false" outlineLevel="0" collapsed="false">
      <c r="A6" s="2" t="s">
        <v>4</v>
      </c>
      <c r="B6" s="2"/>
      <c r="C6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5" t="s">
        <v>6</v>
      </c>
      <c r="B9" s="6" t="s">
        <v>7</v>
      </c>
      <c r="C9" s="7" t="s">
        <v>8</v>
      </c>
    </row>
    <row r="10" customFormat="false" ht="15" hidden="false" customHeight="false" outlineLevel="0" collapsed="false">
      <c r="A10" s="5" t="s">
        <v>9</v>
      </c>
      <c r="B10" s="6" t="s">
        <v>10</v>
      </c>
      <c r="C10" s="7" t="s">
        <v>11</v>
      </c>
    </row>
    <row r="11" customFormat="false" ht="15" hidden="false" customHeight="false" outlineLevel="0" collapsed="false">
      <c r="A11" s="5" t="s">
        <v>12</v>
      </c>
      <c r="B11" s="6" t="s">
        <v>13</v>
      </c>
      <c r="C11" s="7" t="s">
        <v>14</v>
      </c>
    </row>
    <row r="13" customFormat="false" ht="17.15" hidden="false" customHeight="false" outlineLevel="0" collapsed="false">
      <c r="A13" s="3" t="s">
        <v>15</v>
      </c>
    </row>
    <row r="14" customFormat="false" ht="15" hidden="false" customHeight="false" outlineLevel="0" collapsed="false">
      <c r="A14" s="5" t="s">
        <v>16</v>
      </c>
      <c r="B14" s="6" t="s">
        <v>17</v>
      </c>
      <c r="C14" s="6" t="s">
        <v>18</v>
      </c>
    </row>
    <row r="15" customFormat="false" ht="17.15" hidden="false" customHeight="false" outlineLevel="0" collapsed="false">
      <c r="A15" s="5" t="s">
        <v>19</v>
      </c>
      <c r="B15" s="6" t="s">
        <v>20</v>
      </c>
      <c r="C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  <c r="C16" s="6" t="s">
        <v>18</v>
      </c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8" t="s">
        <v>25</v>
      </c>
      <c r="B19" s="6" t="s">
        <v>26</v>
      </c>
      <c r="C19" s="9" t="s">
        <v>27</v>
      </c>
    </row>
    <row r="20" customFormat="false" ht="15" hidden="false" customHeight="false" outlineLevel="0" collapsed="false">
      <c r="A20" s="8" t="s">
        <v>28</v>
      </c>
      <c r="B20" s="6" t="s">
        <v>29</v>
      </c>
      <c r="C20" s="9" t="s">
        <v>30</v>
      </c>
    </row>
    <row r="21" customFormat="false" ht="15" hidden="false" customHeight="false" outlineLevel="0" collapsed="false">
      <c r="A21" s="8" t="s">
        <v>31</v>
      </c>
      <c r="B21" s="6" t="s">
        <v>32</v>
      </c>
      <c r="C21" s="9" t="s">
        <v>33</v>
      </c>
    </row>
    <row r="23" customFormat="false" ht="15" hidden="false" customHeight="false" outlineLevel="0" collapsed="false">
      <c r="A23" s="3" t="s">
        <v>34</v>
      </c>
    </row>
    <row r="24" customFormat="false" ht="15" hidden="false" customHeight="false" outlineLevel="0" collapsed="false">
      <c r="A24" s="8" t="s">
        <v>35</v>
      </c>
      <c r="B24" s="6" t="s">
        <v>36</v>
      </c>
      <c r="C24" s="7"/>
    </row>
    <row r="25" customFormat="false" ht="15" hidden="false" customHeight="false" outlineLevel="0" collapsed="false">
      <c r="A25" s="8" t="s">
        <v>37</v>
      </c>
      <c r="B25" s="6" t="s">
        <v>38</v>
      </c>
      <c r="C25" s="7" t="s">
        <v>39</v>
      </c>
    </row>
    <row r="26" customFormat="false" ht="15" hidden="false" customHeight="false" outlineLevel="0" collapsed="false">
      <c r="A26" s="8" t="s">
        <v>40</v>
      </c>
      <c r="B26" s="6" t="s">
        <v>41</v>
      </c>
      <c r="C26" s="7" t="s">
        <v>42</v>
      </c>
    </row>
    <row r="27" customFormat="false" ht="15" hidden="false" customHeight="false" outlineLevel="0" collapsed="false">
      <c r="A27" s="8" t="s">
        <v>43</v>
      </c>
      <c r="B27" s="6" t="s">
        <v>44</v>
      </c>
      <c r="C27" s="7"/>
    </row>
    <row r="28" customFormat="false" ht="15" hidden="false" customHeight="false" outlineLevel="0" collapsed="false">
      <c r="A28" s="8" t="s">
        <v>45</v>
      </c>
      <c r="B28" s="6" t="s">
        <v>46</v>
      </c>
      <c r="C28" s="7"/>
    </row>
    <row r="29" customFormat="false" ht="15" hidden="false" customHeight="false" outlineLevel="0" collapsed="false">
      <c r="A29" s="8" t="s">
        <v>47</v>
      </c>
      <c r="B29" s="6" t="s">
        <v>48</v>
      </c>
      <c r="C29" s="7" t="s">
        <v>49</v>
      </c>
    </row>
    <row r="30" customFormat="false" ht="15" hidden="false" customHeight="false" outlineLevel="0" collapsed="false">
      <c r="A30" s="8" t="s">
        <v>50</v>
      </c>
      <c r="B30" s="6" t="s">
        <v>51</v>
      </c>
      <c r="C30" s="7"/>
    </row>
    <row r="32" customFormat="false" ht="15" hidden="false" customHeight="false" outlineLevel="0" collapsed="false">
      <c r="A32" s="3" t="s">
        <v>52</v>
      </c>
    </row>
    <row r="33" customFormat="false" ht="15" hidden="false" customHeight="false" outlineLevel="0" collapsed="false">
      <c r="A33" s="5" t="s">
        <v>53</v>
      </c>
      <c r="B33" s="6" t="s">
        <v>54</v>
      </c>
    </row>
    <row r="34" customFormat="false" ht="15" hidden="false" customHeight="false" outlineLevel="0" collapsed="false">
      <c r="A34" s="5" t="s">
        <v>55</v>
      </c>
      <c r="B34" s="6" t="s">
        <v>56</v>
      </c>
    </row>
    <row r="35" customFormat="false" ht="15" hidden="false" customHeight="false" outlineLevel="0" collapsed="false">
      <c r="A35" s="5" t="s">
        <v>57</v>
      </c>
      <c r="B35" s="6" t="s">
        <v>58</v>
      </c>
    </row>
    <row r="37" customFormat="false" ht="15" hidden="false" customHeight="false" outlineLevel="0" collapsed="false">
      <c r="A37" s="3" t="s">
        <v>59</v>
      </c>
    </row>
    <row r="38" customFormat="false" ht="17.15" hidden="false" customHeight="false" outlineLevel="0" collapsed="false">
      <c r="A38" s="5" t="s">
        <v>60</v>
      </c>
      <c r="B38" s="6" t="s">
        <v>61</v>
      </c>
      <c r="C38" s="6" t="s">
        <v>18</v>
      </c>
    </row>
    <row r="39" customFormat="false" ht="15" hidden="false" customHeight="false" outlineLevel="0" collapsed="false">
      <c r="A39" s="5" t="s">
        <v>62</v>
      </c>
      <c r="B39" s="6" t="s">
        <v>63</v>
      </c>
      <c r="C39" s="6" t="s">
        <v>21</v>
      </c>
    </row>
    <row r="40" customFormat="false" ht="15" hidden="false" customHeight="false" outlineLevel="0" collapsed="false">
      <c r="A40" s="5" t="s">
        <v>64</v>
      </c>
      <c r="B40" s="6" t="s">
        <v>65</v>
      </c>
      <c r="C40" s="6" t="s">
        <v>66</v>
      </c>
    </row>
    <row r="41" customFormat="false" ht="15" hidden="false" customHeight="false" outlineLevel="0" collapsed="false">
      <c r="A41" s="5" t="s">
        <v>67</v>
      </c>
      <c r="B41" s="6" t="s">
        <v>68</v>
      </c>
      <c r="C41" s="6" t="s">
        <v>18</v>
      </c>
    </row>
    <row r="42" customFormat="false" ht="17.15" hidden="false" customHeight="false" outlineLevel="0" collapsed="false">
      <c r="A42" s="5" t="s">
        <v>69</v>
      </c>
      <c r="B42" s="6" t="s">
        <v>70</v>
      </c>
      <c r="C42" s="6" t="s">
        <v>21</v>
      </c>
    </row>
    <row r="44" customFormat="false" ht="15" hidden="false" customHeight="false" outlineLevel="0" collapsed="false">
      <c r="A44" s="3" t="s">
        <v>71</v>
      </c>
    </row>
    <row r="45" customFormat="false" ht="14.15" hidden="false" customHeight="false" outlineLevel="0" collapsed="false">
      <c r="A45" s="4" t="s">
        <v>72</v>
      </c>
      <c r="B45" s="4"/>
      <c r="C45" s="4"/>
    </row>
    <row r="46" customFormat="false" ht="14.15" hidden="false" customHeight="false" outlineLevel="0" collapsed="false">
      <c r="A46" s="4" t="s">
        <v>73</v>
      </c>
      <c r="B46" s="4"/>
      <c r="C46" s="4"/>
    </row>
    <row r="47" customFormat="false" ht="14.15" hidden="false" customHeight="false" outlineLevel="0" collapsed="false">
      <c r="A47" s="4" t="s">
        <v>74</v>
      </c>
      <c r="B47" s="4"/>
      <c r="C47" s="4"/>
    </row>
    <row r="48" customFormat="false" ht="14.15" hidden="false" customHeight="false" outlineLevel="0" collapsed="false">
      <c r="A48" s="4" t="s">
        <v>75</v>
      </c>
      <c r="B48" s="4"/>
      <c r="C48" s="4"/>
    </row>
  </sheetData>
  <mergeCells count="8">
    <mergeCell ref="A1:C1"/>
    <mergeCell ref="A2:C2"/>
    <mergeCell ref="A5:C5"/>
    <mergeCell ref="A6:C6"/>
    <mergeCell ref="A45:C45"/>
    <mergeCell ref="A46:C46"/>
    <mergeCell ref="A47:C47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19.7" hidden="false" customHeight="false" outlineLevel="0" collapsed="false">
      <c r="A1" s="1" t="s">
        <v>76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77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0" t="s">
        <v>78</v>
      </c>
      <c r="B4" s="10" t="s">
        <v>79</v>
      </c>
      <c r="C4" s="10" t="s">
        <v>80</v>
      </c>
      <c r="D4" s="10" t="s">
        <v>81</v>
      </c>
      <c r="E4" s="10" t="s">
        <v>82</v>
      </c>
      <c r="F4" s="10" t="s">
        <v>83</v>
      </c>
      <c r="G4" s="10" t="s">
        <v>84</v>
      </c>
      <c r="H4" s="10" t="s">
        <v>85</v>
      </c>
    </row>
    <row r="5" customFormat="false" ht="15" hidden="false" customHeight="false" outlineLevel="0" collapsed="false">
      <c r="A5" s="6" t="s">
        <v>86</v>
      </c>
      <c r="B5" s="11" t="n">
        <v>205</v>
      </c>
      <c r="C5" s="12" t="n">
        <v>7850</v>
      </c>
      <c r="D5" s="13" t="n">
        <v>0.3</v>
      </c>
      <c r="E5" s="14" t="n">
        <v>0.0002</v>
      </c>
      <c r="F5" s="6" t="s">
        <v>87</v>
      </c>
      <c r="G5" s="6" t="s">
        <v>18</v>
      </c>
      <c r="H5" s="7" t="s">
        <v>88</v>
      </c>
    </row>
    <row r="6" customFormat="false" ht="15" hidden="false" customHeight="false" outlineLevel="0" collapsed="false">
      <c r="A6" s="6" t="s">
        <v>89</v>
      </c>
      <c r="B6" s="11" t="n">
        <v>205</v>
      </c>
      <c r="C6" s="12" t="n">
        <v>7850</v>
      </c>
      <c r="D6" s="13" t="n">
        <v>0.3</v>
      </c>
      <c r="E6" s="14" t="n">
        <v>0.0002</v>
      </c>
      <c r="F6" s="6" t="s">
        <v>87</v>
      </c>
      <c r="G6" s="6" t="s">
        <v>18</v>
      </c>
      <c r="H6" s="7" t="s">
        <v>90</v>
      </c>
    </row>
    <row r="7" customFormat="false" ht="15" hidden="false" customHeight="false" outlineLevel="0" collapsed="false">
      <c r="A7" s="6" t="s">
        <v>91</v>
      </c>
      <c r="B7" s="11" t="n">
        <v>205</v>
      </c>
      <c r="C7" s="12" t="n">
        <v>7850</v>
      </c>
      <c r="D7" s="13" t="n">
        <v>0.3</v>
      </c>
      <c r="E7" s="14" t="n">
        <v>0.0002</v>
      </c>
      <c r="F7" s="6" t="s">
        <v>87</v>
      </c>
      <c r="G7" s="6" t="s">
        <v>18</v>
      </c>
      <c r="H7" s="7" t="s">
        <v>90</v>
      </c>
    </row>
    <row r="8" customFormat="false" ht="15" hidden="false" customHeight="false" outlineLevel="0" collapsed="false">
      <c r="A8" s="6" t="s">
        <v>92</v>
      </c>
      <c r="B8" s="11" t="n">
        <v>193</v>
      </c>
      <c r="C8" s="12" t="n">
        <v>7930</v>
      </c>
      <c r="D8" s="13" t="n">
        <v>0.3</v>
      </c>
      <c r="E8" s="14" t="n">
        <v>0.0005</v>
      </c>
      <c r="F8" s="6" t="s">
        <v>87</v>
      </c>
      <c r="G8" s="6" t="s">
        <v>18</v>
      </c>
      <c r="H8" s="7" t="s">
        <v>90</v>
      </c>
    </row>
    <row r="9" customFormat="false" ht="15" hidden="false" customHeight="false" outlineLevel="0" collapsed="false">
      <c r="A9" s="6" t="s">
        <v>93</v>
      </c>
      <c r="B9" s="11" t="n">
        <v>206</v>
      </c>
      <c r="C9" s="12" t="n">
        <v>7850</v>
      </c>
      <c r="D9" s="13" t="n">
        <v>0.3</v>
      </c>
      <c r="E9" s="14" t="n">
        <v>0.0002</v>
      </c>
      <c r="F9" s="6" t="s">
        <v>87</v>
      </c>
      <c r="G9" s="6" t="s">
        <v>18</v>
      </c>
      <c r="H9" s="7" t="s">
        <v>90</v>
      </c>
    </row>
    <row r="10" customFormat="false" ht="15" hidden="false" customHeight="false" outlineLevel="0" collapsed="false">
      <c r="A10" s="6" t="s">
        <v>94</v>
      </c>
      <c r="B10" s="11" t="n">
        <v>105</v>
      </c>
      <c r="C10" s="12" t="n">
        <v>7200</v>
      </c>
      <c r="D10" s="13" t="n">
        <v>0.26</v>
      </c>
      <c r="E10" s="14" t="n">
        <v>0.0015</v>
      </c>
      <c r="F10" s="6" t="s">
        <v>87</v>
      </c>
      <c r="G10" s="6" t="s">
        <v>21</v>
      </c>
      <c r="H10" s="7" t="s">
        <v>95</v>
      </c>
    </row>
    <row r="11" customFormat="false" ht="15" hidden="false" customHeight="false" outlineLevel="0" collapsed="false">
      <c r="A11" s="6" t="s">
        <v>96</v>
      </c>
      <c r="B11" s="11" t="n">
        <v>70</v>
      </c>
      <c r="C11" s="12" t="n">
        <v>2680</v>
      </c>
      <c r="D11" s="13" t="n">
        <v>0.33</v>
      </c>
      <c r="E11" s="14" t="n">
        <v>0.0001</v>
      </c>
      <c r="F11" s="6" t="s">
        <v>87</v>
      </c>
      <c r="G11" s="6" t="s">
        <v>18</v>
      </c>
      <c r="H11" s="7" t="s">
        <v>90</v>
      </c>
    </row>
    <row r="12" customFormat="false" ht="15" hidden="false" customHeight="false" outlineLevel="0" collapsed="false">
      <c r="A12" s="6" t="s">
        <v>97</v>
      </c>
      <c r="B12" s="11" t="n">
        <v>69</v>
      </c>
      <c r="C12" s="12" t="n">
        <v>2700</v>
      </c>
      <c r="D12" s="13" t="n">
        <v>0.33</v>
      </c>
      <c r="E12" s="14" t="n">
        <v>0.0001</v>
      </c>
      <c r="F12" s="6" t="s">
        <v>87</v>
      </c>
      <c r="G12" s="6" t="s">
        <v>18</v>
      </c>
      <c r="H12" s="7" t="s">
        <v>90</v>
      </c>
    </row>
    <row r="13" customFormat="false" ht="15" hidden="false" customHeight="false" outlineLevel="0" collapsed="false">
      <c r="A13" s="6" t="s">
        <v>98</v>
      </c>
      <c r="B13" s="11" t="n">
        <v>114</v>
      </c>
      <c r="C13" s="12" t="n">
        <v>4430</v>
      </c>
      <c r="D13" s="13" t="n">
        <v>0.34</v>
      </c>
      <c r="E13" s="14" t="n">
        <v>0.0002</v>
      </c>
      <c r="F13" s="6" t="s">
        <v>87</v>
      </c>
      <c r="G13" s="6" t="s">
        <v>18</v>
      </c>
      <c r="H13" s="7" t="s">
        <v>99</v>
      </c>
    </row>
    <row r="14" customFormat="false" ht="15" hidden="false" customHeight="false" outlineLevel="0" collapsed="false">
      <c r="A14" s="6" t="s">
        <v>100</v>
      </c>
      <c r="B14" s="11" t="n">
        <v>117</v>
      </c>
      <c r="C14" s="12" t="n">
        <v>8940</v>
      </c>
      <c r="D14" s="13" t="n">
        <v>0.34</v>
      </c>
      <c r="E14" s="14" t="n">
        <v>0.002</v>
      </c>
      <c r="F14" s="6" t="s">
        <v>87</v>
      </c>
      <c r="G14" s="6" t="s">
        <v>18</v>
      </c>
      <c r="H14" s="7" t="s">
        <v>90</v>
      </c>
    </row>
    <row r="15" customFormat="false" ht="15" hidden="false" customHeight="false" outlineLevel="0" collapsed="false">
      <c r="A15" s="6" t="s">
        <v>101</v>
      </c>
      <c r="B15" s="11" t="n">
        <v>103</v>
      </c>
      <c r="C15" s="12" t="n">
        <v>8530</v>
      </c>
      <c r="D15" s="13" t="n">
        <v>0.35</v>
      </c>
      <c r="E15" s="14" t="n">
        <v>0.001</v>
      </c>
      <c r="F15" s="6" t="s">
        <v>87</v>
      </c>
      <c r="G15" s="6" t="s">
        <v>18</v>
      </c>
      <c r="H15" s="7" t="s">
        <v>90</v>
      </c>
    </row>
    <row r="16" customFormat="false" ht="15" hidden="false" customHeight="false" outlineLevel="0" collapsed="false">
      <c r="A16" s="6" t="s">
        <v>102</v>
      </c>
      <c r="B16" s="11" t="n">
        <v>205</v>
      </c>
      <c r="C16" s="12" t="n">
        <v>7850</v>
      </c>
      <c r="D16" s="13" t="n">
        <v>0.3</v>
      </c>
      <c r="E16" s="14" t="n">
        <v>0.0002</v>
      </c>
      <c r="F16" s="6" t="s">
        <v>103</v>
      </c>
      <c r="G16" s="6" t="s">
        <v>18</v>
      </c>
      <c r="H16" s="7" t="s">
        <v>90</v>
      </c>
    </row>
    <row r="17" customFormat="false" ht="15" hidden="false" customHeight="false" outlineLevel="0" collapsed="false">
      <c r="A17" s="6" t="s">
        <v>104</v>
      </c>
      <c r="B17" s="11" t="n">
        <v>0.01</v>
      </c>
      <c r="C17" s="12" t="n">
        <v>1300</v>
      </c>
      <c r="D17" s="13" t="n">
        <v>0.49</v>
      </c>
      <c r="E17" s="14" t="n">
        <v>0.3</v>
      </c>
      <c r="F17" s="6" t="s">
        <v>103</v>
      </c>
      <c r="G17" s="6" t="s">
        <v>66</v>
      </c>
      <c r="H17" s="7" t="s">
        <v>105</v>
      </c>
    </row>
    <row r="18" customFormat="false" ht="15" hidden="false" customHeight="false" outlineLevel="0" collapsed="false">
      <c r="A18" s="6" t="s">
        <v>106</v>
      </c>
      <c r="B18" s="11" t="n">
        <v>0.05</v>
      </c>
      <c r="C18" s="12" t="n">
        <v>1400</v>
      </c>
      <c r="D18" s="13" t="n">
        <v>0.49</v>
      </c>
      <c r="E18" s="14" t="n">
        <v>0.2</v>
      </c>
      <c r="F18" s="6" t="s">
        <v>103</v>
      </c>
      <c r="G18" s="6" t="s">
        <v>66</v>
      </c>
      <c r="H18" s="7" t="s">
        <v>107</v>
      </c>
    </row>
    <row r="19" customFormat="false" ht="15" hidden="false" customHeight="false" outlineLevel="0" collapsed="false">
      <c r="A19" s="6" t="s">
        <v>108</v>
      </c>
      <c r="B19" s="11" t="n">
        <v>114</v>
      </c>
      <c r="C19" s="12" t="n">
        <v>4430</v>
      </c>
      <c r="D19" s="13" t="n">
        <v>0.34</v>
      </c>
      <c r="E19" s="14" t="n">
        <v>0.0002</v>
      </c>
      <c r="F19" s="6" t="s">
        <v>103</v>
      </c>
      <c r="G19" s="6" t="s">
        <v>18</v>
      </c>
      <c r="H19" s="7" t="s">
        <v>99</v>
      </c>
    </row>
    <row r="20" customFormat="false" ht="15" hidden="false" customHeight="false" outlineLevel="0" collapsed="false">
      <c r="A20" s="6" t="s">
        <v>109</v>
      </c>
      <c r="B20" s="11" t="n">
        <v>3</v>
      </c>
      <c r="C20" s="12" t="n">
        <v>1300</v>
      </c>
      <c r="D20" s="13" t="n">
        <v>0.35</v>
      </c>
      <c r="E20" s="14" t="n">
        <v>0.08</v>
      </c>
      <c r="F20" s="6" t="s">
        <v>110</v>
      </c>
      <c r="G20" s="6" t="s">
        <v>66</v>
      </c>
      <c r="H20" s="7" t="s">
        <v>111</v>
      </c>
    </row>
    <row r="21" customFormat="false" ht="15" hidden="false" customHeight="false" outlineLevel="0" collapsed="false">
      <c r="A21" s="6" t="s">
        <v>112</v>
      </c>
      <c r="B21" s="11" t="n">
        <v>0</v>
      </c>
      <c r="C21" s="12" t="n">
        <v>1</v>
      </c>
      <c r="D21" s="13" t="n">
        <v>0</v>
      </c>
      <c r="E21" s="14" t="n">
        <v>0</v>
      </c>
      <c r="F21" s="6" t="s">
        <v>113</v>
      </c>
      <c r="G21" s="6" t="s">
        <v>113</v>
      </c>
      <c r="H21" s="7" t="s">
        <v>114</v>
      </c>
    </row>
    <row r="23" customFormat="false" ht="14.15" hidden="false" customHeight="false" outlineLevel="0" collapsed="false">
      <c r="A23" s="2" t="s">
        <v>115</v>
      </c>
      <c r="B23" s="2"/>
      <c r="C23" s="2"/>
      <c r="D23" s="2"/>
      <c r="E23" s="2"/>
      <c r="F23" s="2"/>
      <c r="G23" s="2"/>
      <c r="H23" s="2"/>
    </row>
    <row r="24" customFormat="false" ht="14.15" hidden="false" customHeight="false" outlineLevel="0" collapsed="false">
      <c r="A24" s="4" t="s">
        <v>116</v>
      </c>
      <c r="B24" s="4"/>
      <c r="C24" s="4"/>
      <c r="D24" s="4"/>
      <c r="E24" s="4"/>
      <c r="F24" s="4"/>
      <c r="G24" s="4"/>
      <c r="H24" s="4"/>
    </row>
  </sheetData>
  <mergeCells count="4">
    <mergeCell ref="A1:H1"/>
    <mergeCell ref="A2:H2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9"/>
    <col collapsed="false" customWidth="true" hidden="false" outlineLevel="0" max="4" min="4" style="0" width="6"/>
    <col collapsed="false" customWidth="true" hidden="false" outlineLevel="0" max="8" min="5" style="0" width="8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9" min="14" style="0" width="9"/>
    <col collapsed="false" customWidth="true" hidden="false" outlineLevel="0" max="20" min="20" style="0" width="11"/>
    <col collapsed="false" customWidth="true" hidden="false" outlineLevel="0" max="21" min="21" style="0" width="2"/>
    <col collapsed="false" customWidth="true" hidden="false" outlineLevel="0" max="22" min="22" style="0" width="22"/>
    <col collapsed="false" customWidth="true" hidden="false" outlineLevel="0" max="27" min="23" style="0" width="8"/>
  </cols>
  <sheetData>
    <row r="1" customFormat="false" ht="19.7" hidden="false" customHeight="fals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E3" s="6" t="s">
        <v>119</v>
      </c>
      <c r="F3" s="15" t="n">
        <f aca="false">COUNT($B$6:$B$21)</f>
        <v>14</v>
      </c>
    </row>
    <row r="4" customFormat="false" ht="15" hidden="false" customHeight="false" outlineLevel="0" collapsed="false">
      <c r="E4" s="6" t="s">
        <v>120</v>
      </c>
      <c r="F4" s="15" t="n">
        <f aca="false">IF(SUM($I$6:$I$21)&gt;=0,1,-1)</f>
        <v>1</v>
      </c>
    </row>
    <row r="5" customFormat="false" ht="29.85" hidden="false" customHeight="false" outlineLevel="0" collapsed="false">
      <c r="A5" s="10" t="s">
        <v>121</v>
      </c>
      <c r="B5" s="10" t="s">
        <v>122</v>
      </c>
      <c r="C5" s="10" t="s">
        <v>123</v>
      </c>
      <c r="D5" s="10" t="s">
        <v>124</v>
      </c>
      <c r="E5" s="10" t="s">
        <v>125</v>
      </c>
      <c r="F5" s="10" t="s">
        <v>126</v>
      </c>
      <c r="G5" s="10" t="s">
        <v>127</v>
      </c>
      <c r="H5" s="10" t="s">
        <v>128</v>
      </c>
      <c r="I5" s="10" t="s">
        <v>129</v>
      </c>
      <c r="J5" s="10" t="s">
        <v>130</v>
      </c>
      <c r="K5" s="10" t="s">
        <v>131</v>
      </c>
      <c r="L5" s="10" t="s">
        <v>132</v>
      </c>
      <c r="M5" s="10" t="s">
        <v>133</v>
      </c>
      <c r="N5" s="10" t="s">
        <v>134</v>
      </c>
      <c r="O5" s="10" t="s">
        <v>135</v>
      </c>
      <c r="P5" s="10" t="s">
        <v>136</v>
      </c>
      <c r="Q5" s="10" t="s">
        <v>137</v>
      </c>
      <c r="R5" s="10" t="s">
        <v>138</v>
      </c>
      <c r="S5" s="10" t="s">
        <v>139</v>
      </c>
      <c r="T5" s="10" t="s">
        <v>140</v>
      </c>
      <c r="V5" s="10" t="s">
        <v>141</v>
      </c>
    </row>
    <row r="6" customFormat="false" ht="15" hidden="false" customHeight="false" outlineLevel="0" collapsed="false">
      <c r="A6" s="16" t="n">
        <v>1</v>
      </c>
      <c r="B6" s="17" t="n">
        <v>-37.42</v>
      </c>
      <c r="C6" s="17" t="n">
        <v>-25.95</v>
      </c>
      <c r="D6" s="12" t="n">
        <f aca="false">IF(ROW()-5&lt;=$F$3,1,0)</f>
        <v>1</v>
      </c>
      <c r="E6" s="13" t="n">
        <f aca="false">IF($D6=0,0,INDEX($B$6:$B$21,IF(ROW()-5=$F$3,1,ROW()-5+1)))</f>
        <v>-25.36</v>
      </c>
      <c r="F6" s="13" t="n">
        <f aca="false">IF($D6=0,0,INDEX($C$6:$C$21,IF(ROW()-5=$F$3,1,ROW()-5+1)))</f>
        <v>-21.56</v>
      </c>
      <c r="G6" s="13" t="n">
        <f aca="false">IF($D6=0,0,INDEX($B$6:$B$21,IF(ROW()-5=1,$F$3,ROW()-5-1)))</f>
        <v>-57.76</v>
      </c>
      <c r="H6" s="13" t="n">
        <f aca="false">IF($D6=0,0,INDEX($C$6:$C$21,IF(ROW()-5=1,$F$3,ROW()-5-1)))</f>
        <v>19.72</v>
      </c>
      <c r="I6" s="18" t="n">
        <f aca="false">IF($D6=0,0,B6*F6-E6*C6)</f>
        <v>148.6832</v>
      </c>
      <c r="J6" s="19" t="n">
        <f aca="false">IF($D6=0,0,SQRT((E6-B6)^2+(F6-C6)^2))</f>
        <v>12.8341614451432</v>
      </c>
      <c r="K6" s="19" t="n">
        <f aca="false">IF($D6=0,0,(C6^2+C6*F6+F6^2)*I6)</f>
        <v>252422.15980592</v>
      </c>
      <c r="L6" s="19" t="n">
        <f aca="false">IF($D6=0,0,(B6^2+B6*E6+E6^2)*I6)</f>
        <v>444913.24403904</v>
      </c>
      <c r="M6" s="19" t="n">
        <f aca="false">IF($D6=0,0,(B6*F6+2*B6*C6+2*E6*F6+E6*C6)*I6)</f>
        <v>669147.01687488</v>
      </c>
      <c r="N6" s="19" t="n">
        <f aca="false">IF($D6=0,0,(B6+E6)*I6)</f>
        <v>-9334.331296</v>
      </c>
      <c r="O6" s="19" t="n">
        <f aca="false">IF($D6=0,0,(C6+F6)*I6)</f>
        <v>-7063.938832</v>
      </c>
      <c r="P6" s="19" t="n">
        <f aca="false">IF($D6=0,0,(G6-B6)*(E6-B6)+(H6-C6)*(F6-C6))</f>
        <v>-44.8091</v>
      </c>
      <c r="Q6" s="19" t="n">
        <f aca="false">IF($D6=0,0,(G6-B6)*(F6-C6)-(H6-C6)*(E6-B6))</f>
        <v>-640.0728</v>
      </c>
      <c r="R6" s="20" t="n">
        <f aca="false">IF($D6=0,"",IFERROR(MOD(DEGREES(ATAN2(P6,-$F$4*Q6)),360),""))</f>
        <v>94.0045296088302</v>
      </c>
      <c r="S6" s="20" t="n">
        <f aca="false">IF($D6=0,"",180-R6)</f>
        <v>85.9954703911698</v>
      </c>
      <c r="T6" s="21" t="str">
        <f aca="false">IF($D6=0,"",IF(R6&gt;180,"入隅(凹)","出隅(凸)"))</f>
        <v>出隅(凸)</v>
      </c>
    </row>
    <row r="7" customFormat="false" ht="15" hidden="false" customHeight="false" outlineLevel="0" collapsed="false">
      <c r="A7" s="16" t="n">
        <v>2</v>
      </c>
      <c r="B7" s="17" t="n">
        <v>-25.36</v>
      </c>
      <c r="C7" s="17" t="n">
        <v>-21.56</v>
      </c>
      <c r="D7" s="12" t="n">
        <f aca="false">IF(ROW()-5&lt;=$F$3,1,0)</f>
        <v>1</v>
      </c>
      <c r="E7" s="13" t="n">
        <f aca="false">IF($D7=0,0,INDEX($B$6:$B$21,IF(ROW()-5=$F$3,1,ROW()-5+1)))</f>
        <v>-12.8</v>
      </c>
      <c r="F7" s="13" t="n">
        <f aca="false">IF($D7=0,0,INDEX($C$6:$C$21,IF(ROW()-5=$F$3,1,ROW()-5+1)))</f>
        <v>-18.9</v>
      </c>
      <c r="G7" s="13" t="n">
        <f aca="false">IF($D7=0,0,INDEX($B$6:$B$21,IF(ROW()-5=1,$F$3,ROW()-5-1)))</f>
        <v>-37.42</v>
      </c>
      <c r="H7" s="13" t="n">
        <f aca="false">IF($D7=0,0,INDEX($C$6:$C$21,IF(ROW()-5=1,$F$3,ROW()-5-1)))</f>
        <v>-25.95</v>
      </c>
      <c r="I7" s="18" t="n">
        <f aca="false">IF($D7=0,0,B7*F7-E7*C7)</f>
        <v>203.336</v>
      </c>
      <c r="J7" s="19" t="n">
        <f aca="false">IF($D7=0,0,SQRT((E7-B7)^2+(F7-C7)^2))</f>
        <v>12.8385824762705</v>
      </c>
      <c r="K7" s="19" t="n">
        <f aca="false">IF($D7=0,0,(C7^2+C7*F7+F7^2)*I7)</f>
        <v>250007.2240736</v>
      </c>
      <c r="L7" s="19" t="n">
        <f aca="false">IF($D7=0,0,(B7^2+B7*E7+E7^2)*I7)</f>
        <v>230090.4628736</v>
      </c>
      <c r="M7" s="19" t="n">
        <f aca="false">IF($D7=0,0,(B7*F7+2*B7*C7+2*E7*F7+E7*C7)*I7)</f>
        <v>474308.7110272</v>
      </c>
      <c r="N7" s="19" t="n">
        <f aca="false">IF($D7=0,0,(B7+E7)*I7)</f>
        <v>-7759.30176</v>
      </c>
      <c r="O7" s="19" t="n">
        <f aca="false">IF($D7=0,0,(C7+F7)*I7)</f>
        <v>-8226.97456</v>
      </c>
      <c r="P7" s="19" t="n">
        <f aca="false">IF($D7=0,0,(G7-B7)*(E7-B7)+(H7-C7)*(F7-C7))</f>
        <v>-163.151</v>
      </c>
      <c r="Q7" s="19" t="n">
        <f aca="false">IF($D7=0,0,(G7-B7)*(F7-C7)-(H7-C7)*(E7-B7))</f>
        <v>23.0588</v>
      </c>
      <c r="R7" s="20" t="n">
        <f aca="false">IF($D7=0,"",IFERROR(MOD(DEGREES(ATAN2(P7,-$F$4*Q7)),360),""))</f>
        <v>188.044565616223</v>
      </c>
      <c r="S7" s="20" t="n">
        <f aca="false">IF($D7=0,"",180-R7)</f>
        <v>-8.04456561622317</v>
      </c>
      <c r="T7" s="21" t="str">
        <f aca="false">IF($D7=0,"",IF(R7&gt;180,"入隅(凹)","出隅(凸)"))</f>
        <v>入隅(凹)</v>
      </c>
    </row>
    <row r="8" customFormat="false" ht="15" hidden="false" customHeight="false" outlineLevel="0" collapsed="false">
      <c r="A8" s="16" t="n">
        <v>3</v>
      </c>
      <c r="B8" s="17" t="n">
        <v>-12.8</v>
      </c>
      <c r="C8" s="17" t="n">
        <v>-18.9</v>
      </c>
      <c r="D8" s="12" t="n">
        <f aca="false">IF(ROW()-5&lt;=$F$3,1,0)</f>
        <v>1</v>
      </c>
      <c r="E8" s="13" t="n">
        <f aca="false">IF($D8=0,0,INDEX($B$6:$B$21,IF(ROW()-5=$F$3,1,ROW()-5+1)))</f>
        <v>0</v>
      </c>
      <c r="F8" s="13" t="n">
        <f aca="false">IF($D8=0,0,INDEX($C$6:$C$21,IF(ROW()-5=$F$3,1,ROW()-5+1)))</f>
        <v>-18</v>
      </c>
      <c r="G8" s="13" t="n">
        <f aca="false">IF($D8=0,0,INDEX($B$6:$B$21,IF(ROW()-5=1,$F$3,ROW()-5-1)))</f>
        <v>-25.36</v>
      </c>
      <c r="H8" s="13" t="n">
        <f aca="false">IF($D8=0,0,INDEX($C$6:$C$21,IF(ROW()-5=1,$F$3,ROW()-5-1)))</f>
        <v>-21.56</v>
      </c>
      <c r="I8" s="18" t="n">
        <f aca="false">IF($D8=0,0,B8*F8-E8*C8)</f>
        <v>230.4</v>
      </c>
      <c r="J8" s="19" t="n">
        <f aca="false">IF($D8=0,0,SQRT((E8-B8)^2+(F8-C8)^2))</f>
        <v>12.8316016147635</v>
      </c>
      <c r="K8" s="19" t="n">
        <f aca="false">IF($D8=0,0,(C8^2+C8*F8+F8^2)*I8)</f>
        <v>235332.864</v>
      </c>
      <c r="L8" s="19" t="n">
        <f aca="false">IF($D8=0,0,(B8^2+B8*E8+E8^2)*I8)</f>
        <v>37748.736</v>
      </c>
      <c r="M8" s="19" t="n">
        <f aca="false">IF($D8=0,0,(B8*F8+2*B8*C8+2*E8*F8+E8*C8)*I8)</f>
        <v>164560.896</v>
      </c>
      <c r="N8" s="19" t="n">
        <f aca="false">IF($D8=0,0,(B8+E8)*I8)</f>
        <v>-2949.12</v>
      </c>
      <c r="O8" s="19" t="n">
        <f aca="false">IF($D8=0,0,(C8+F8)*I8)</f>
        <v>-8501.76</v>
      </c>
      <c r="P8" s="19" t="n">
        <f aca="false">IF($D8=0,0,(G8-B8)*(E8-B8)+(H8-C8)*(F8-C8))</f>
        <v>-163.162</v>
      </c>
      <c r="Q8" s="19" t="n">
        <f aca="false">IF($D8=0,0,(G8-B8)*(F8-C8)-(H8-C8)*(E8-B8))</f>
        <v>22.744</v>
      </c>
      <c r="R8" s="20" t="n">
        <f aca="false">IF($D8=0,"",IFERROR(MOD(DEGREES(ATAN2(P8,-$F$4*Q8)),360),""))</f>
        <v>187.935621350877</v>
      </c>
      <c r="S8" s="20" t="n">
        <f aca="false">IF($D8=0,"",180-R8)</f>
        <v>-7.93562135087655</v>
      </c>
      <c r="T8" s="21" t="str">
        <f aca="false">IF($D8=0,"",IF(R8&gt;180,"入隅(凹)","出隅(凸)"))</f>
        <v>入隅(凹)</v>
      </c>
    </row>
    <row r="9" customFormat="false" ht="15" hidden="false" customHeight="false" outlineLevel="0" collapsed="false">
      <c r="A9" s="16" t="n">
        <v>4</v>
      </c>
      <c r="B9" s="17" t="n">
        <v>0</v>
      </c>
      <c r="C9" s="17" t="n">
        <v>-18</v>
      </c>
      <c r="D9" s="12" t="n">
        <f aca="false">IF(ROW()-5&lt;=$F$3,1,0)</f>
        <v>1</v>
      </c>
      <c r="E9" s="13" t="n">
        <f aca="false">IF($D9=0,0,INDEX($B$6:$B$21,IF(ROW()-5=$F$3,1,ROW()-5+1)))</f>
        <v>12.8</v>
      </c>
      <c r="F9" s="13" t="n">
        <f aca="false">IF($D9=0,0,INDEX($C$6:$C$21,IF(ROW()-5=$F$3,1,ROW()-5+1)))</f>
        <v>-18.9</v>
      </c>
      <c r="G9" s="13" t="n">
        <f aca="false">IF($D9=0,0,INDEX($B$6:$B$21,IF(ROW()-5=1,$F$3,ROW()-5-1)))</f>
        <v>-12.8</v>
      </c>
      <c r="H9" s="13" t="n">
        <f aca="false">IF($D9=0,0,INDEX($C$6:$C$21,IF(ROW()-5=1,$F$3,ROW()-5-1)))</f>
        <v>-18.9</v>
      </c>
      <c r="I9" s="18" t="n">
        <f aca="false">IF($D9=0,0,B9*F9-E9*C9)</f>
        <v>230.4</v>
      </c>
      <c r="J9" s="19" t="n">
        <f aca="false">IF($D9=0,0,SQRT((E9-B9)^2+(F9-C9)^2))</f>
        <v>12.8316016147635</v>
      </c>
      <c r="K9" s="19" t="n">
        <f aca="false">IF($D9=0,0,(C9^2+C9*F9+F9^2)*I9)</f>
        <v>235332.864</v>
      </c>
      <c r="L9" s="19" t="n">
        <f aca="false">IF($D9=0,0,(B9^2+B9*E9+E9^2)*I9)</f>
        <v>37748.736</v>
      </c>
      <c r="M9" s="19" t="n">
        <f aca="false">IF($D9=0,0,(B9*F9+2*B9*C9+2*E9*F9+E9*C9)*I9)</f>
        <v>-164560.896</v>
      </c>
      <c r="N9" s="19" t="n">
        <f aca="false">IF($D9=0,0,(B9+E9)*I9)</f>
        <v>2949.12</v>
      </c>
      <c r="O9" s="19" t="n">
        <f aca="false">IF($D9=0,0,(C9+F9)*I9)</f>
        <v>-8501.76</v>
      </c>
      <c r="P9" s="19" t="n">
        <f aca="false">IF($D9=0,0,(G9-B9)*(E9-B9)+(H9-C9)*(F9-C9))</f>
        <v>-163.03</v>
      </c>
      <c r="Q9" s="19" t="n">
        <f aca="false">IF($D9=0,0,(G9-B9)*(F9-C9)-(H9-C9)*(E9-B9))</f>
        <v>23.04</v>
      </c>
      <c r="R9" s="20" t="n">
        <f aca="false">IF($D9=0,"",IFERROR(MOD(DEGREES(ATAN2(P9,-$F$4*Q9)),360),""))</f>
        <v>188.04398035404</v>
      </c>
      <c r="S9" s="20" t="n">
        <f aca="false">IF($D9=0,"",180-R9)</f>
        <v>-8.0439803540402</v>
      </c>
      <c r="T9" s="21" t="str">
        <f aca="false">IF($D9=0,"",IF(R9&gt;180,"入隅(凹)","出隅(凸)"))</f>
        <v>入隅(凹)</v>
      </c>
    </row>
    <row r="10" customFormat="false" ht="15" hidden="false" customHeight="false" outlineLevel="0" collapsed="false">
      <c r="A10" s="16" t="n">
        <v>5</v>
      </c>
      <c r="B10" s="17" t="n">
        <v>12.8</v>
      </c>
      <c r="C10" s="17" t="n">
        <v>-18.9</v>
      </c>
      <c r="D10" s="12" t="n">
        <f aca="false">IF(ROW()-5&lt;=$F$3,1,0)</f>
        <v>1</v>
      </c>
      <c r="E10" s="13" t="n">
        <f aca="false">IF($D10=0,0,INDEX($B$6:$B$21,IF(ROW()-5=$F$3,1,ROW()-5+1)))</f>
        <v>25.36</v>
      </c>
      <c r="F10" s="13" t="n">
        <f aca="false">IF($D10=0,0,INDEX($C$6:$C$21,IF(ROW()-5=$F$3,1,ROW()-5+1)))</f>
        <v>-21.56</v>
      </c>
      <c r="G10" s="13" t="n">
        <f aca="false">IF($D10=0,0,INDEX($B$6:$B$21,IF(ROW()-5=1,$F$3,ROW()-5-1)))</f>
        <v>0</v>
      </c>
      <c r="H10" s="13" t="n">
        <f aca="false">IF($D10=0,0,INDEX($C$6:$C$21,IF(ROW()-5=1,$F$3,ROW()-5-1)))</f>
        <v>-18</v>
      </c>
      <c r="I10" s="18" t="n">
        <f aca="false">IF($D10=0,0,B10*F10-E10*C10)</f>
        <v>203.336</v>
      </c>
      <c r="J10" s="19" t="n">
        <f aca="false">IF($D10=0,0,SQRT((E10-B10)^2+(F10-C10)^2))</f>
        <v>12.8385824762705</v>
      </c>
      <c r="K10" s="19" t="n">
        <f aca="false">IF($D10=0,0,(C10^2+C10*F10+F10^2)*I10)</f>
        <v>250007.2240736</v>
      </c>
      <c r="L10" s="19" t="n">
        <f aca="false">IF($D10=0,0,(B10^2+B10*E10+E10^2)*I10)</f>
        <v>230090.4628736</v>
      </c>
      <c r="M10" s="19" t="n">
        <f aca="false">IF($D10=0,0,(B10*F10+2*B10*C10+2*E10*F10+E10*C10)*I10)</f>
        <v>-474308.7110272</v>
      </c>
      <c r="N10" s="19" t="n">
        <f aca="false">IF($D10=0,0,(B10+E10)*I10)</f>
        <v>7759.30176</v>
      </c>
      <c r="O10" s="19" t="n">
        <f aca="false">IF($D10=0,0,(C10+F10)*I10)</f>
        <v>-8226.97456</v>
      </c>
      <c r="P10" s="19" t="n">
        <f aca="false">IF($D10=0,0,(G10-B10)*(E10-B10)+(H10-C10)*(F10-C10))</f>
        <v>-163.162</v>
      </c>
      <c r="Q10" s="19" t="n">
        <f aca="false">IF($D10=0,0,(G10-B10)*(F10-C10)-(H10-C10)*(E10-B10))</f>
        <v>22.744</v>
      </c>
      <c r="R10" s="20" t="n">
        <f aca="false">IF($D10=0,"",IFERROR(MOD(DEGREES(ATAN2(P10,-$F$4*Q10)),360),""))</f>
        <v>187.935621350877</v>
      </c>
      <c r="S10" s="20" t="n">
        <f aca="false">IF($D10=0,"",180-R10)</f>
        <v>-7.93562135087655</v>
      </c>
      <c r="T10" s="21" t="str">
        <f aca="false">IF($D10=0,"",IF(R10&gt;180,"入隅(凹)","出隅(凸)"))</f>
        <v>入隅(凹)</v>
      </c>
    </row>
    <row r="11" customFormat="false" ht="15" hidden="false" customHeight="false" outlineLevel="0" collapsed="false">
      <c r="A11" s="16" t="n">
        <v>6</v>
      </c>
      <c r="B11" s="17" t="n">
        <v>25.36</v>
      </c>
      <c r="C11" s="17" t="n">
        <v>-21.56</v>
      </c>
      <c r="D11" s="12" t="n">
        <f aca="false">IF(ROW()-5&lt;=$F$3,1,0)</f>
        <v>1</v>
      </c>
      <c r="E11" s="13" t="n">
        <f aca="false">IF($D11=0,0,INDEX($B$6:$B$21,IF(ROW()-5=$F$3,1,ROW()-5+1)))</f>
        <v>37.42</v>
      </c>
      <c r="F11" s="13" t="n">
        <f aca="false">IF($D11=0,0,INDEX($C$6:$C$21,IF(ROW()-5=$F$3,1,ROW()-5+1)))</f>
        <v>-25.95</v>
      </c>
      <c r="G11" s="13" t="n">
        <f aca="false">IF($D11=0,0,INDEX($B$6:$B$21,IF(ROW()-5=1,$F$3,ROW()-5-1)))</f>
        <v>12.8</v>
      </c>
      <c r="H11" s="13" t="n">
        <f aca="false">IF($D11=0,0,INDEX($C$6:$C$21,IF(ROW()-5=1,$F$3,ROW()-5-1)))</f>
        <v>-18.9</v>
      </c>
      <c r="I11" s="18" t="n">
        <f aca="false">IF($D11=0,0,B11*F11-E11*C11)</f>
        <v>148.6832</v>
      </c>
      <c r="J11" s="19" t="n">
        <f aca="false">IF($D11=0,0,SQRT((E11-B11)^2+(F11-C11)^2))</f>
        <v>12.8341614451432</v>
      </c>
      <c r="K11" s="19" t="n">
        <f aca="false">IF($D11=0,0,(C11^2+C11*F11+F11^2)*I11)</f>
        <v>252422.15980592</v>
      </c>
      <c r="L11" s="19" t="n">
        <f aca="false">IF($D11=0,0,(B11^2+B11*E11+E11^2)*I11)</f>
        <v>444913.24403904</v>
      </c>
      <c r="M11" s="19" t="n">
        <f aca="false">IF($D11=0,0,(B11*F11+2*B11*C11+2*E11*F11+E11*C11)*I11)</f>
        <v>-669147.01687488</v>
      </c>
      <c r="N11" s="19" t="n">
        <f aca="false">IF($D11=0,0,(B11+E11)*I11)</f>
        <v>9334.331296</v>
      </c>
      <c r="O11" s="19" t="n">
        <f aca="false">IF($D11=0,0,(C11+F11)*I11)</f>
        <v>-7063.938832</v>
      </c>
      <c r="P11" s="19" t="n">
        <f aca="false">IF($D11=0,0,(G11-B11)*(E11-B11)+(H11-C11)*(F11-C11))</f>
        <v>-163.151</v>
      </c>
      <c r="Q11" s="19" t="n">
        <f aca="false">IF($D11=0,0,(G11-B11)*(F11-C11)-(H11-C11)*(E11-B11))</f>
        <v>23.0588</v>
      </c>
      <c r="R11" s="20" t="n">
        <f aca="false">IF($D11=0,"",IFERROR(MOD(DEGREES(ATAN2(P11,-$F$4*Q11)),360),""))</f>
        <v>188.044565616223</v>
      </c>
      <c r="S11" s="20" t="n">
        <f aca="false">IF($D11=0,"",180-R11)</f>
        <v>-8.04456561622317</v>
      </c>
      <c r="T11" s="21" t="str">
        <f aca="false">IF($D11=0,"",IF(R11&gt;180,"入隅(凹)","出隅(凸)"))</f>
        <v>入隅(凹)</v>
      </c>
    </row>
    <row r="12" customFormat="false" ht="15" hidden="false" customHeight="false" outlineLevel="0" collapsed="false">
      <c r="A12" s="16" t="n">
        <v>7</v>
      </c>
      <c r="B12" s="17" t="n">
        <v>37.42</v>
      </c>
      <c r="C12" s="17" t="n">
        <v>-25.95</v>
      </c>
      <c r="D12" s="12" t="n">
        <f aca="false">IF(ROW()-5&lt;=$F$3,1,0)</f>
        <v>1</v>
      </c>
      <c r="E12" s="13" t="n">
        <f aca="false">IF($D12=0,0,INDEX($B$6:$B$21,IF(ROW()-5=$F$3,1,ROW()-5+1)))</f>
        <v>57.76</v>
      </c>
      <c r="F12" s="13" t="n">
        <f aca="false">IF($D12=0,0,INDEX($C$6:$C$21,IF(ROW()-5=$F$3,1,ROW()-5+1)))</f>
        <v>19.72</v>
      </c>
      <c r="G12" s="13" t="n">
        <f aca="false">IF($D12=0,0,INDEX($B$6:$B$21,IF(ROW()-5=1,$F$3,ROW()-5-1)))</f>
        <v>25.36</v>
      </c>
      <c r="H12" s="13" t="n">
        <f aca="false">IF($D12=0,0,INDEX($C$6:$C$21,IF(ROW()-5=1,$F$3,ROW()-5-1)))</f>
        <v>-21.56</v>
      </c>
      <c r="I12" s="18" t="n">
        <f aca="false">IF($D12=0,0,B12*F12-E12*C12)</f>
        <v>2236.7944</v>
      </c>
      <c r="J12" s="19" t="n">
        <f aca="false">IF($D12=0,0,SQRT((E12-B12)^2+(F12-C12)^2))</f>
        <v>49.994644713209</v>
      </c>
      <c r="K12" s="19" t="n">
        <f aca="false">IF($D12=0,0,(C12^2+C12*F12+F12^2)*I12)</f>
        <v>1231460.22285736</v>
      </c>
      <c r="L12" s="19" t="n">
        <f aca="false">IF($D12=0,0,(B12^2+B12*E12+E12^2)*I12)</f>
        <v>15429079.4097821</v>
      </c>
      <c r="M12" s="19" t="n">
        <f aca="false">IF($D12=0,0,(B12*F12+2*B12*C12+2*E12*F12+E12*C12)*I12)</f>
        <v>-950622.40979808</v>
      </c>
      <c r="N12" s="19" t="n">
        <f aca="false">IF($D12=0,0,(B12+E12)*I12)</f>
        <v>212898.090992</v>
      </c>
      <c r="O12" s="19" t="n">
        <f aca="false">IF($D12=0,0,(C12+F12)*I12)</f>
        <v>-13935.229112</v>
      </c>
      <c r="P12" s="19" t="n">
        <f aca="false">IF($D12=0,0,(G12-B12)*(E12-B12)+(H12-C12)*(F12-C12))</f>
        <v>-44.8091</v>
      </c>
      <c r="Q12" s="19" t="n">
        <f aca="false">IF($D12=0,0,(G12-B12)*(F12-C12)-(H12-C12)*(E12-B12))</f>
        <v>-640.0728</v>
      </c>
      <c r="R12" s="20" t="n">
        <f aca="false">IF($D12=0,"",IFERROR(MOD(DEGREES(ATAN2(P12,-$F$4*Q12)),360),""))</f>
        <v>94.0045296088302</v>
      </c>
      <c r="S12" s="20" t="n">
        <f aca="false">IF($D12=0,"",180-R12)</f>
        <v>85.9954703911698</v>
      </c>
      <c r="T12" s="21" t="str">
        <f aca="false">IF($D12=0,"",IF(R12&gt;180,"入隅(凹)","出隅(凸)"))</f>
        <v>出隅(凸)</v>
      </c>
    </row>
    <row r="13" customFormat="false" ht="15" hidden="false" customHeight="false" outlineLevel="0" collapsed="false">
      <c r="A13" s="16" t="n">
        <v>8</v>
      </c>
      <c r="B13" s="17" t="n">
        <v>57.76</v>
      </c>
      <c r="C13" s="17" t="n">
        <v>19.72</v>
      </c>
      <c r="D13" s="12" t="n">
        <f aca="false">IF(ROW()-5&lt;=$F$3,1,0)</f>
        <v>1</v>
      </c>
      <c r="E13" s="13" t="n">
        <f aca="false">IF($D13=0,0,INDEX($B$6:$B$21,IF(ROW()-5=$F$3,1,ROW()-5+1)))</f>
        <v>39.14</v>
      </c>
      <c r="F13" s="13" t="n">
        <f aca="false">IF($D13=0,0,INDEX($C$6:$C$21,IF(ROW()-5=$F$3,1,ROW()-5+1)))</f>
        <v>26.5</v>
      </c>
      <c r="G13" s="13" t="n">
        <f aca="false">IF($D13=0,0,INDEX($B$6:$B$21,IF(ROW()-5=1,$F$3,ROW()-5-1)))</f>
        <v>37.42</v>
      </c>
      <c r="H13" s="13" t="n">
        <f aca="false">IF($D13=0,0,INDEX($C$6:$C$21,IF(ROW()-5=1,$F$3,ROW()-5-1)))</f>
        <v>-25.95</v>
      </c>
      <c r="I13" s="18" t="n">
        <f aca="false">IF($D13=0,0,B13*F13-E13*C13)</f>
        <v>758.7992</v>
      </c>
      <c r="J13" s="19" t="n">
        <f aca="false">IF($D13=0,0,SQRT((E13-B13)^2+(F13-C13)^2))</f>
        <v>19.8159733548468</v>
      </c>
      <c r="K13" s="19" t="n">
        <f aca="false">IF($D13=0,0,(C13^2+C13*F13+F13^2)*I13)</f>
        <v>1224480.64295328</v>
      </c>
      <c r="L13" s="19" t="n">
        <f aca="false">IF($D13=0,0,(B13^2+B13*E13+E13^2)*I13)</f>
        <v>5409391.17257312</v>
      </c>
      <c r="M13" s="19" t="n">
        <f aca="false">IF($D13=0,0,(B13*F13+2*B13*C13+2*E13*F13+E13*C13)*I13)</f>
        <v>5049774.68179584</v>
      </c>
      <c r="N13" s="19" t="n">
        <f aca="false">IF($D13=0,0,(B13+E13)*I13)</f>
        <v>73527.64248</v>
      </c>
      <c r="O13" s="19" t="n">
        <f aca="false">IF($D13=0,0,(C13+F13)*I13)</f>
        <v>35071.699024</v>
      </c>
      <c r="P13" s="19" t="n">
        <f aca="false">IF($D13=0,0,(G13-B13)*(E13-B13)+(H13-C13)*(F13-C13))</f>
        <v>69.0881999999998</v>
      </c>
      <c r="Q13" s="19" t="n">
        <f aca="false">IF($D13=0,0,(G13-B13)*(F13-C13)-(H13-C13)*(E13-B13))</f>
        <v>-988.2806</v>
      </c>
      <c r="R13" s="20" t="n">
        <f aca="false">IF($D13=0,"",IFERROR(MOD(DEGREES(ATAN2(P13,-$F$4*Q13)),360),""))</f>
        <v>86.001102612773</v>
      </c>
      <c r="S13" s="20" t="n">
        <f aca="false">IF($D13=0,"",180-R13)</f>
        <v>93.9988973872271</v>
      </c>
      <c r="T13" s="21" t="str">
        <f aca="false">IF($D13=0,"",IF(R13&gt;180,"入隅(凹)","出隅(凸)"))</f>
        <v>出隅(凸)</v>
      </c>
    </row>
    <row r="14" customFormat="false" ht="15" hidden="false" customHeight="false" outlineLevel="0" collapsed="false">
      <c r="A14" s="16" t="n">
        <v>9</v>
      </c>
      <c r="B14" s="17" t="n">
        <v>39.14</v>
      </c>
      <c r="C14" s="17" t="n">
        <v>26.5</v>
      </c>
      <c r="D14" s="12" t="n">
        <f aca="false">IF(ROW()-5&lt;=$F$3,1,0)</f>
        <v>1</v>
      </c>
      <c r="E14" s="13" t="n">
        <f aca="false">IF($D14=0,0,INDEX($B$6:$B$21,IF(ROW()-5=$F$3,1,ROW()-5+1)))</f>
        <v>19.76</v>
      </c>
      <c r="F14" s="13" t="n">
        <f aca="false">IF($D14=0,0,INDEX($C$6:$C$21,IF(ROW()-5=$F$3,1,ROW()-5+1)))</f>
        <v>30.62</v>
      </c>
      <c r="G14" s="13" t="n">
        <f aca="false">IF($D14=0,0,INDEX($B$6:$B$21,IF(ROW()-5=1,$F$3,ROW()-5-1)))</f>
        <v>57.76</v>
      </c>
      <c r="H14" s="13" t="n">
        <f aca="false">IF($D14=0,0,INDEX($C$6:$C$21,IF(ROW()-5=1,$F$3,ROW()-5-1)))</f>
        <v>19.72</v>
      </c>
      <c r="I14" s="18" t="n">
        <f aca="false">IF($D14=0,0,B14*F14-E14*C14)</f>
        <v>674.8268</v>
      </c>
      <c r="J14" s="19" t="n">
        <f aca="false">IF($D14=0,0,SQRT((E14-B14)^2+(F14-C14)^2))</f>
        <v>19.8130966787123</v>
      </c>
      <c r="K14" s="19" t="n">
        <f aca="false">IF($D14=0,0,(C14^2+C14*F14+F14^2)*I14)</f>
        <v>1654178.91100592</v>
      </c>
      <c r="L14" s="19" t="n">
        <f aca="false">IF($D14=0,0,(B14^2+B14*E14+E14^2)*I14)</f>
        <v>1819200.51681648</v>
      </c>
      <c r="M14" s="19" t="n">
        <f aca="false">IF($D14=0,0,(B14*F14+2*B14*C14+2*E14*F14+E14*C14)*I14)</f>
        <v>3378607.56182256</v>
      </c>
      <c r="N14" s="19" t="n">
        <f aca="false">IF($D14=0,0,(B14+E14)*I14)</f>
        <v>39747.29852</v>
      </c>
      <c r="O14" s="19" t="n">
        <f aca="false">IF($D14=0,0,(C14+F14)*I14)</f>
        <v>38546.106816</v>
      </c>
      <c r="P14" s="19" t="n">
        <f aca="false">IF($D14=0,0,(G14-B14)*(E14-B14)+(H14-C14)*(F14-C14))</f>
        <v>-388.7892</v>
      </c>
      <c r="Q14" s="19" t="n">
        <f aca="false">IF($D14=0,0,(G14-B14)*(F14-C14)-(H14-C14)*(E14-B14))</f>
        <v>-54.682</v>
      </c>
      <c r="R14" s="20" t="n">
        <f aca="false">IF($D14=0,"",IFERROR(MOD(DEGREES(ATAN2(P14,-$F$4*Q14)),360),""))</f>
        <v>171.994040084824</v>
      </c>
      <c r="S14" s="20" t="n">
        <f aca="false">IF($D14=0,"",180-R14)</f>
        <v>8.00595991517642</v>
      </c>
      <c r="T14" s="21" t="str">
        <f aca="false">IF($D14=0,"",IF(R14&gt;180,"入隅(凹)","出隅(凸)"))</f>
        <v>出隅(凸)</v>
      </c>
    </row>
    <row r="15" customFormat="false" ht="15" hidden="false" customHeight="false" outlineLevel="0" collapsed="false">
      <c r="A15" s="16" t="n">
        <v>10</v>
      </c>
      <c r="B15" s="17" t="n">
        <v>19.76</v>
      </c>
      <c r="C15" s="17" t="n">
        <v>30.62</v>
      </c>
      <c r="D15" s="12" t="n">
        <f aca="false">IF(ROW()-5&lt;=$F$3,1,0)</f>
        <v>1</v>
      </c>
      <c r="E15" s="13" t="n">
        <f aca="false">IF($D15=0,0,INDEX($B$6:$B$21,IF(ROW()-5=$F$3,1,ROW()-5+1)))</f>
        <v>0</v>
      </c>
      <c r="F15" s="13" t="n">
        <f aca="false">IF($D15=0,0,INDEX($C$6:$C$21,IF(ROW()-5=$F$3,1,ROW()-5+1)))</f>
        <v>32</v>
      </c>
      <c r="G15" s="13" t="n">
        <f aca="false">IF($D15=0,0,INDEX($B$6:$B$21,IF(ROW()-5=1,$F$3,ROW()-5-1)))</f>
        <v>39.14</v>
      </c>
      <c r="H15" s="13" t="n">
        <f aca="false">IF($D15=0,0,INDEX($C$6:$C$21,IF(ROW()-5=1,$F$3,ROW()-5-1)))</f>
        <v>26.5</v>
      </c>
      <c r="I15" s="18" t="n">
        <f aca="false">IF($D15=0,0,B15*F15-E15*C15)</f>
        <v>632.32</v>
      </c>
      <c r="J15" s="19" t="n">
        <f aca="false">IF($D15=0,0,SQRT((E15-B15)^2+(F15-C15)^2))</f>
        <v>19.8081296441638</v>
      </c>
      <c r="K15" s="19" t="n">
        <f aca="false">IF($D15=0,0,(C15^2+C15*F15+F15^2)*I15)</f>
        <v>1859921.476608</v>
      </c>
      <c r="L15" s="19" t="n">
        <f aca="false">IF($D15=0,0,(B15^2+B15*E15+E15^2)*I15)</f>
        <v>246894.149632</v>
      </c>
      <c r="M15" s="19" t="n">
        <f aca="false">IF($D15=0,0,(B15*F15+2*B15*C15+2*E15*F15+E15*C15)*I15)</f>
        <v>1165000.531968</v>
      </c>
      <c r="N15" s="19" t="n">
        <f aca="false">IF($D15=0,0,(B15+E15)*I15)</f>
        <v>12494.6432</v>
      </c>
      <c r="O15" s="19" t="n">
        <f aca="false">IF($D15=0,0,(C15+F15)*I15)</f>
        <v>39595.8784</v>
      </c>
      <c r="P15" s="19" t="n">
        <f aca="false">IF($D15=0,0,(G15-B15)*(E15-B15)+(H15-C15)*(F15-C15))</f>
        <v>-388.6344</v>
      </c>
      <c r="Q15" s="19" t="n">
        <f aca="false">IF($D15=0,0,(G15-B15)*(F15-C15)-(H15-C15)*(E15-B15))</f>
        <v>-54.6668</v>
      </c>
      <c r="R15" s="20" t="n">
        <f aca="false">IF($D15=0,"",IFERROR(MOD(DEGREES(ATAN2(P15,-$F$4*Q15)),360),""))</f>
        <v>171.993089961117</v>
      </c>
      <c r="S15" s="20" t="n">
        <f aca="false">IF($D15=0,"",180-R15)</f>
        <v>8.00691003888309</v>
      </c>
      <c r="T15" s="21" t="str">
        <f aca="false">IF($D15=0,"",IF(R15&gt;180,"入隅(凹)","出隅(凸)"))</f>
        <v>出隅(凸)</v>
      </c>
    </row>
    <row r="16" customFormat="false" ht="15" hidden="false" customHeight="false" outlineLevel="0" collapsed="false">
      <c r="A16" s="16" t="n">
        <v>11</v>
      </c>
      <c r="B16" s="17" t="n">
        <v>0</v>
      </c>
      <c r="C16" s="17" t="n">
        <v>32</v>
      </c>
      <c r="D16" s="12" t="n">
        <f aca="false">IF(ROW()-5&lt;=$F$3,1,0)</f>
        <v>1</v>
      </c>
      <c r="E16" s="13" t="n">
        <f aca="false">IF($D16=0,0,INDEX($B$6:$B$21,IF(ROW()-5=$F$3,1,ROW()-5+1)))</f>
        <v>-19.76</v>
      </c>
      <c r="F16" s="13" t="n">
        <f aca="false">IF($D16=0,0,INDEX($C$6:$C$21,IF(ROW()-5=$F$3,1,ROW()-5+1)))</f>
        <v>30.62</v>
      </c>
      <c r="G16" s="13" t="n">
        <f aca="false">IF($D16=0,0,INDEX($B$6:$B$21,IF(ROW()-5=1,$F$3,ROW()-5-1)))</f>
        <v>19.76</v>
      </c>
      <c r="H16" s="13" t="n">
        <f aca="false">IF($D16=0,0,INDEX($C$6:$C$21,IF(ROW()-5=1,$F$3,ROW()-5-1)))</f>
        <v>30.62</v>
      </c>
      <c r="I16" s="18" t="n">
        <f aca="false">IF($D16=0,0,B16*F16-E16*C16)</f>
        <v>632.32</v>
      </c>
      <c r="J16" s="19" t="n">
        <f aca="false">IF($D16=0,0,SQRT((E16-B16)^2+(F16-C16)^2))</f>
        <v>19.8081296441638</v>
      </c>
      <c r="K16" s="19" t="n">
        <f aca="false">IF($D16=0,0,(C16^2+C16*F16+F16^2)*I16)</f>
        <v>1859921.476608</v>
      </c>
      <c r="L16" s="19" t="n">
        <f aca="false">IF($D16=0,0,(B16^2+B16*E16+E16^2)*I16)</f>
        <v>246894.149632</v>
      </c>
      <c r="M16" s="19" t="n">
        <f aca="false">IF($D16=0,0,(B16*F16+2*B16*C16+2*E16*F16+E16*C16)*I16)</f>
        <v>-1165000.531968</v>
      </c>
      <c r="N16" s="19" t="n">
        <f aca="false">IF($D16=0,0,(B16+E16)*I16)</f>
        <v>-12494.6432</v>
      </c>
      <c r="O16" s="19" t="n">
        <f aca="false">IF($D16=0,0,(C16+F16)*I16)</f>
        <v>39595.8784</v>
      </c>
      <c r="P16" s="19" t="n">
        <f aca="false">IF($D16=0,0,(G16-B16)*(E16-B16)+(H16-C16)*(F16-C16))</f>
        <v>-388.5532</v>
      </c>
      <c r="Q16" s="19" t="n">
        <f aca="false">IF($D16=0,0,(G16-B16)*(F16-C16)-(H16-C16)*(E16-B16))</f>
        <v>-54.5376</v>
      </c>
      <c r="R16" s="20" t="n">
        <f aca="false">IF($D16=0,"",IFERROR(MOD(DEGREES(ATAN2(P16,-$F$4*Q16)),360),""))</f>
        <v>172.010121176673</v>
      </c>
      <c r="S16" s="20" t="n">
        <f aca="false">IF($D16=0,"",180-R16)</f>
        <v>7.98987882332676</v>
      </c>
      <c r="T16" s="21" t="str">
        <f aca="false">IF($D16=0,"",IF(R16&gt;180,"入隅(凹)","出隅(凸)"))</f>
        <v>出隅(凸)</v>
      </c>
    </row>
    <row r="17" customFormat="false" ht="15" hidden="false" customHeight="false" outlineLevel="0" collapsed="false">
      <c r="A17" s="16" t="n">
        <v>12</v>
      </c>
      <c r="B17" s="17" t="n">
        <v>-19.76</v>
      </c>
      <c r="C17" s="17" t="n">
        <v>30.62</v>
      </c>
      <c r="D17" s="12" t="n">
        <f aca="false">IF(ROW()-5&lt;=$F$3,1,0)</f>
        <v>1</v>
      </c>
      <c r="E17" s="13" t="n">
        <f aca="false">IF($D17=0,0,INDEX($B$6:$B$21,IF(ROW()-5=$F$3,1,ROW()-5+1)))</f>
        <v>-39.14</v>
      </c>
      <c r="F17" s="13" t="n">
        <f aca="false">IF($D17=0,0,INDEX($C$6:$C$21,IF(ROW()-5=$F$3,1,ROW()-5+1)))</f>
        <v>26.5</v>
      </c>
      <c r="G17" s="13" t="n">
        <f aca="false">IF($D17=0,0,INDEX($B$6:$B$21,IF(ROW()-5=1,$F$3,ROW()-5-1)))</f>
        <v>0</v>
      </c>
      <c r="H17" s="13" t="n">
        <f aca="false">IF($D17=0,0,INDEX($C$6:$C$21,IF(ROW()-5=1,$F$3,ROW()-5-1)))</f>
        <v>32</v>
      </c>
      <c r="I17" s="18" t="n">
        <f aca="false">IF($D17=0,0,B17*F17-E17*C17)</f>
        <v>674.8268</v>
      </c>
      <c r="J17" s="19" t="n">
        <f aca="false">IF($D17=0,0,SQRT((E17-B17)^2+(F17-C17)^2))</f>
        <v>19.8130966787123</v>
      </c>
      <c r="K17" s="19" t="n">
        <f aca="false">IF($D17=0,0,(C17^2+C17*F17+F17^2)*I17)</f>
        <v>1654178.91100592</v>
      </c>
      <c r="L17" s="19" t="n">
        <f aca="false">IF($D17=0,0,(B17^2+B17*E17+E17^2)*I17)</f>
        <v>1819200.51681648</v>
      </c>
      <c r="M17" s="19" t="n">
        <f aca="false">IF($D17=0,0,(B17*F17+2*B17*C17+2*E17*F17+E17*C17)*I17)</f>
        <v>-3378607.56182256</v>
      </c>
      <c r="N17" s="19" t="n">
        <f aca="false">IF($D17=0,0,(B17+E17)*I17)</f>
        <v>-39747.29852</v>
      </c>
      <c r="O17" s="19" t="n">
        <f aca="false">IF($D17=0,0,(C17+F17)*I17)</f>
        <v>38546.106816</v>
      </c>
      <c r="P17" s="19" t="n">
        <f aca="false">IF($D17=0,0,(G17-B17)*(E17-B17)+(H17-C17)*(F17-C17))</f>
        <v>-388.6344</v>
      </c>
      <c r="Q17" s="19" t="n">
        <f aca="false">IF($D17=0,0,(G17-B17)*(F17-C17)-(H17-C17)*(E17-B17))</f>
        <v>-54.6668</v>
      </c>
      <c r="R17" s="20" t="n">
        <f aca="false">IF($D17=0,"",IFERROR(MOD(DEGREES(ATAN2(P17,-$F$4*Q17)),360),""))</f>
        <v>171.993089961117</v>
      </c>
      <c r="S17" s="20" t="n">
        <f aca="false">IF($D17=0,"",180-R17)</f>
        <v>8.00691003888309</v>
      </c>
      <c r="T17" s="21" t="str">
        <f aca="false">IF($D17=0,"",IF(R17&gt;180,"入隅(凹)","出隅(凸)"))</f>
        <v>出隅(凸)</v>
      </c>
    </row>
    <row r="18" customFormat="false" ht="15" hidden="false" customHeight="false" outlineLevel="0" collapsed="false">
      <c r="A18" s="16" t="n">
        <v>13</v>
      </c>
      <c r="B18" s="17" t="n">
        <v>-39.14</v>
      </c>
      <c r="C18" s="17" t="n">
        <v>26.5</v>
      </c>
      <c r="D18" s="12" t="n">
        <f aca="false">IF(ROW()-5&lt;=$F$3,1,0)</f>
        <v>1</v>
      </c>
      <c r="E18" s="13" t="n">
        <f aca="false">IF($D18=0,0,INDEX($B$6:$B$21,IF(ROW()-5=$F$3,1,ROW()-5+1)))</f>
        <v>-57.76</v>
      </c>
      <c r="F18" s="13" t="n">
        <f aca="false">IF($D18=0,0,INDEX($C$6:$C$21,IF(ROW()-5=$F$3,1,ROW()-5+1)))</f>
        <v>19.72</v>
      </c>
      <c r="G18" s="13" t="n">
        <f aca="false">IF($D18=0,0,INDEX($B$6:$B$21,IF(ROW()-5=1,$F$3,ROW()-5-1)))</f>
        <v>-19.76</v>
      </c>
      <c r="H18" s="13" t="n">
        <f aca="false">IF($D18=0,0,INDEX($C$6:$C$21,IF(ROW()-5=1,$F$3,ROW()-5-1)))</f>
        <v>30.62</v>
      </c>
      <c r="I18" s="18" t="n">
        <f aca="false">IF($D18=0,0,B18*F18-E18*C18)</f>
        <v>758.7992</v>
      </c>
      <c r="J18" s="19" t="n">
        <f aca="false">IF($D18=0,0,SQRT((E18-B18)^2+(F18-C18)^2))</f>
        <v>19.8159733548468</v>
      </c>
      <c r="K18" s="19" t="n">
        <f aca="false">IF($D18=0,0,(C18^2+C18*F18+F18^2)*I18)</f>
        <v>1224480.64295328</v>
      </c>
      <c r="L18" s="19" t="n">
        <f aca="false">IF($D18=0,0,(B18^2+B18*E18+E18^2)*I18)</f>
        <v>5409391.17257312</v>
      </c>
      <c r="M18" s="19" t="n">
        <f aca="false">IF($D18=0,0,(B18*F18+2*B18*C18+2*E18*F18+E18*C18)*I18)</f>
        <v>-5049774.68179584</v>
      </c>
      <c r="N18" s="19" t="n">
        <f aca="false">IF($D18=0,0,(B18+E18)*I18)</f>
        <v>-73527.64248</v>
      </c>
      <c r="O18" s="19" t="n">
        <f aca="false">IF($D18=0,0,(C18+F18)*I18)</f>
        <v>35071.699024</v>
      </c>
      <c r="P18" s="19" t="n">
        <f aca="false">IF($D18=0,0,(G18-B18)*(E18-B18)+(H18-C18)*(F18-C18))</f>
        <v>-388.7892</v>
      </c>
      <c r="Q18" s="19" t="n">
        <f aca="false">IF($D18=0,0,(G18-B18)*(F18-C18)-(H18-C18)*(E18-B18))</f>
        <v>-54.682</v>
      </c>
      <c r="R18" s="20" t="n">
        <f aca="false">IF($D18=0,"",IFERROR(MOD(DEGREES(ATAN2(P18,-$F$4*Q18)),360),""))</f>
        <v>171.994040084824</v>
      </c>
      <c r="S18" s="20" t="n">
        <f aca="false">IF($D18=0,"",180-R18)</f>
        <v>8.00595991517642</v>
      </c>
      <c r="T18" s="21" t="str">
        <f aca="false">IF($D18=0,"",IF(R18&gt;180,"入隅(凹)","出隅(凸)"))</f>
        <v>出隅(凸)</v>
      </c>
    </row>
    <row r="19" customFormat="false" ht="15" hidden="false" customHeight="false" outlineLevel="0" collapsed="false">
      <c r="A19" s="16" t="n">
        <v>14</v>
      </c>
      <c r="B19" s="17" t="n">
        <v>-57.76</v>
      </c>
      <c r="C19" s="17" t="n">
        <v>19.72</v>
      </c>
      <c r="D19" s="12" t="n">
        <f aca="false">IF(ROW()-5&lt;=$F$3,1,0)</f>
        <v>1</v>
      </c>
      <c r="E19" s="13" t="n">
        <f aca="false">IF($D19=0,0,INDEX($B$6:$B$21,IF(ROW()-5=$F$3,1,ROW()-5+1)))</f>
        <v>-37.42</v>
      </c>
      <c r="F19" s="13" t="n">
        <f aca="false">IF($D19=0,0,INDEX($C$6:$C$21,IF(ROW()-5=$F$3,1,ROW()-5+1)))</f>
        <v>-25.95</v>
      </c>
      <c r="G19" s="13" t="n">
        <f aca="false">IF($D19=0,0,INDEX($B$6:$B$21,IF(ROW()-5=1,$F$3,ROW()-5-1)))</f>
        <v>-39.14</v>
      </c>
      <c r="H19" s="13" t="n">
        <f aca="false">IF($D19=0,0,INDEX($C$6:$C$21,IF(ROW()-5=1,$F$3,ROW()-5-1)))</f>
        <v>26.5</v>
      </c>
      <c r="I19" s="18" t="n">
        <f aca="false">IF($D19=0,0,B19*F19-E19*C19)</f>
        <v>2236.7944</v>
      </c>
      <c r="J19" s="19" t="n">
        <f aca="false">IF($D19=0,0,SQRT((E19-B19)^2+(F19-C19)^2))</f>
        <v>49.994644713209</v>
      </c>
      <c r="K19" s="19" t="n">
        <f aca="false">IF($D19=0,0,(C19^2+C19*F19+F19^2)*I19)</f>
        <v>1231460.22285736</v>
      </c>
      <c r="L19" s="19" t="n">
        <f aca="false">IF($D19=0,0,(B19^2+B19*E19+E19^2)*I19)</f>
        <v>15429079.4097821</v>
      </c>
      <c r="M19" s="19" t="n">
        <f aca="false">IF($D19=0,0,(B19*F19+2*B19*C19+2*E19*F19+E19*C19)*I19)</f>
        <v>950622.409798079</v>
      </c>
      <c r="N19" s="19" t="n">
        <f aca="false">IF($D19=0,0,(B19+E19)*I19)</f>
        <v>-212898.090992</v>
      </c>
      <c r="O19" s="19" t="n">
        <f aca="false">IF($D19=0,0,(C19+F19)*I19)</f>
        <v>-13935.229112</v>
      </c>
      <c r="P19" s="19" t="n">
        <f aca="false">IF($D19=0,0,(G19-B19)*(E19-B19)+(H19-C19)*(F19-C19))</f>
        <v>69.0881999999998</v>
      </c>
      <c r="Q19" s="19" t="n">
        <f aca="false">IF($D19=0,0,(G19-B19)*(F19-C19)-(H19-C19)*(E19-B19))</f>
        <v>-988.2806</v>
      </c>
      <c r="R19" s="20" t="n">
        <f aca="false">IF($D19=0,"",IFERROR(MOD(DEGREES(ATAN2(P19,-$F$4*Q19)),360),""))</f>
        <v>86.001102612773</v>
      </c>
      <c r="S19" s="20" t="n">
        <f aca="false">IF($D19=0,"",180-R19)</f>
        <v>93.9988973872271</v>
      </c>
      <c r="T19" s="21" t="str">
        <f aca="false">IF($D19=0,"",IF(R19&gt;180,"入隅(凹)","出隅(凸)"))</f>
        <v>出隅(凸)</v>
      </c>
    </row>
    <row r="20" customFormat="false" ht="15" hidden="false" customHeight="false" outlineLevel="0" collapsed="false">
      <c r="A20" s="16" t="n">
        <v>15</v>
      </c>
      <c r="D20" s="12" t="n">
        <f aca="false">IF(ROW()-5&lt;=$F$3,1,0)</f>
        <v>0</v>
      </c>
      <c r="E20" s="13" t="n">
        <f aca="false">IF($D20=0,0,INDEX($B$6:$B$21,IF(ROW()-5=$F$3,1,ROW()-5+1)))</f>
        <v>0</v>
      </c>
      <c r="F20" s="13" t="n">
        <f aca="false">IF($D20=0,0,INDEX($C$6:$C$21,IF(ROW()-5=$F$3,1,ROW()-5+1)))</f>
        <v>0</v>
      </c>
      <c r="G20" s="13" t="n">
        <f aca="false">IF($D20=0,0,INDEX($B$6:$B$21,IF(ROW()-5=1,$F$3,ROW()-5-1)))</f>
        <v>0</v>
      </c>
      <c r="H20" s="13" t="n">
        <f aca="false">IF($D20=0,0,INDEX($C$6:$C$21,IF(ROW()-5=1,$F$3,ROW()-5-1)))</f>
        <v>0</v>
      </c>
      <c r="I20" s="18" t="n">
        <f aca="false">IF($D20=0,0,B20*F20-E20*C20)</f>
        <v>0</v>
      </c>
      <c r="J20" s="19" t="n">
        <f aca="false">IF($D20=0,0,SQRT((E20-B20)^2+(F20-C20)^2))</f>
        <v>0</v>
      </c>
      <c r="K20" s="19" t="n">
        <f aca="false">IF($D20=0,0,(C20^2+C20*F20+F20^2)*I20)</f>
        <v>0</v>
      </c>
      <c r="L20" s="19" t="n">
        <f aca="false">IF($D20=0,0,(B20^2+B20*E20+E20^2)*I20)</f>
        <v>0</v>
      </c>
      <c r="M20" s="19" t="n">
        <f aca="false">IF($D20=0,0,(B20*F20+2*B20*C20+2*E20*F20+E20*C20)*I20)</f>
        <v>0</v>
      </c>
      <c r="N20" s="19" t="n">
        <f aca="false">IF($D20=0,0,(B20+E20)*I20)</f>
        <v>0</v>
      </c>
      <c r="O20" s="19" t="n">
        <f aca="false">IF($D20=0,0,(C20+F20)*I20)</f>
        <v>0</v>
      </c>
      <c r="P20" s="19" t="n">
        <f aca="false">IF($D20=0,0,(G20-B20)*(E20-B20)+(H20-C20)*(F20-C20))</f>
        <v>0</v>
      </c>
      <c r="Q20" s="19" t="n">
        <f aca="false">IF($D20=0,0,(G20-B20)*(F20-C20)-(H20-C20)*(E20-B20))</f>
        <v>0</v>
      </c>
      <c r="R20" s="20" t="str">
        <f aca="false">IF($D20=0,"",IFERROR(MOD(DEGREES(ATAN2(P20,-$F$4*Q20)),360),""))</f>
        <v/>
      </c>
      <c r="S20" s="20" t="str">
        <f aca="false">IF($D20=0,"",180-R20)</f>
        <v/>
      </c>
      <c r="T20" s="21" t="str">
        <f aca="false">IF($D20=0,"",IF(R20&gt;180,"入隅(凹)","出隅(凸)"))</f>
        <v/>
      </c>
    </row>
    <row r="21" customFormat="false" ht="15" hidden="false" customHeight="false" outlineLevel="0" collapsed="false">
      <c r="A21" s="16" t="n">
        <v>16</v>
      </c>
      <c r="D21" s="12" t="n">
        <f aca="false">IF(ROW()-5&lt;=$F$3,1,0)</f>
        <v>0</v>
      </c>
      <c r="E21" s="13" t="n">
        <f aca="false">IF($D21=0,0,INDEX($B$6:$B$21,IF(ROW()-5=$F$3,1,ROW()-5+1)))</f>
        <v>0</v>
      </c>
      <c r="F21" s="13" t="n">
        <f aca="false">IF($D21=0,0,INDEX($C$6:$C$21,IF(ROW()-5=$F$3,1,ROW()-5+1)))</f>
        <v>0</v>
      </c>
      <c r="G21" s="13" t="n">
        <f aca="false">IF($D21=0,0,INDEX($B$6:$B$21,IF(ROW()-5=1,$F$3,ROW()-5-1)))</f>
        <v>0</v>
      </c>
      <c r="H21" s="13" t="n">
        <f aca="false">IF($D21=0,0,INDEX($C$6:$C$21,IF(ROW()-5=1,$F$3,ROW()-5-1)))</f>
        <v>0</v>
      </c>
      <c r="I21" s="18" t="n">
        <f aca="false">IF($D21=0,0,B21*F21-E21*C21)</f>
        <v>0</v>
      </c>
      <c r="J21" s="19" t="n">
        <f aca="false">IF($D21=0,0,SQRT((E21-B21)^2+(F21-C21)^2))</f>
        <v>0</v>
      </c>
      <c r="K21" s="19" t="n">
        <f aca="false">IF($D21=0,0,(C21^2+C21*F21+F21^2)*I21)</f>
        <v>0</v>
      </c>
      <c r="L21" s="19" t="n">
        <f aca="false">IF($D21=0,0,(B21^2+B21*E21+E21^2)*I21)</f>
        <v>0</v>
      </c>
      <c r="M21" s="19" t="n">
        <f aca="false">IF($D21=0,0,(B21*F21+2*B21*C21+2*E21*F21+E21*C21)*I21)</f>
        <v>0</v>
      </c>
      <c r="N21" s="19" t="n">
        <f aca="false">IF($D21=0,0,(B21+E21)*I21)</f>
        <v>0</v>
      </c>
      <c r="O21" s="19" t="n">
        <f aca="false">IF($D21=0,0,(C21+F21)*I21)</f>
        <v>0</v>
      </c>
      <c r="P21" s="19" t="n">
        <f aca="false">IF($D21=0,0,(G21-B21)*(E21-B21)+(H21-C21)*(F21-C21))</f>
        <v>0</v>
      </c>
      <c r="Q21" s="19" t="n">
        <f aca="false">IF($D21=0,0,(G21-B21)*(F21-C21)-(H21-C21)*(E21-B21))</f>
        <v>0</v>
      </c>
      <c r="R21" s="20" t="str">
        <f aca="false">IF($D21=0,"",IFERROR(MOD(DEGREES(ATAN2(P21,-$F$4*Q21)),360),""))</f>
        <v/>
      </c>
      <c r="S21" s="20" t="str">
        <f aca="false">IF($D21=0,"",180-R21)</f>
        <v/>
      </c>
      <c r="T21" s="21" t="str">
        <f aca="false">IF($D21=0,"",IF(R21&gt;180,"入隅(凹)","出隅(凸)"))</f>
        <v/>
      </c>
    </row>
    <row r="23" customFormat="false" ht="15" hidden="false" customHeight="false" outlineLevel="0" collapsed="false">
      <c r="A23" s="3" t="s">
        <v>142</v>
      </c>
    </row>
    <row r="24" customFormat="false" ht="15" hidden="false" customHeight="false" outlineLevel="0" collapsed="false">
      <c r="A24" s="6" t="s">
        <v>143</v>
      </c>
      <c r="B24" s="22" t="n">
        <f aca="false">0.5*SUM(I6:I21)</f>
        <v>4885.1596</v>
      </c>
      <c r="C24" s="7" t="s">
        <v>144</v>
      </c>
    </row>
    <row r="25" customFormat="false" ht="15" hidden="false" customHeight="false" outlineLevel="0" collapsed="false">
      <c r="A25" s="6" t="s">
        <v>145</v>
      </c>
      <c r="B25" s="22" t="n">
        <f aca="false">ABS(B24)</f>
        <v>4885.1596</v>
      </c>
      <c r="C25" s="7" t="s">
        <v>146</v>
      </c>
    </row>
    <row r="26" customFormat="false" ht="15" hidden="false" customHeight="false" outlineLevel="0" collapsed="false">
      <c r="A26" s="6" t="s">
        <v>147</v>
      </c>
      <c r="B26" s="22" t="n">
        <f aca="false">SUM(J6:J21)</f>
        <v>295.872379854218</v>
      </c>
    </row>
    <row r="27" customFormat="false" ht="15" hidden="false" customHeight="false" outlineLevel="0" collapsed="false">
      <c r="A27" s="6" t="s">
        <v>148</v>
      </c>
      <c r="B27" s="23" t="n">
        <f aca="false">IF(B25=0,0,SUM(N6:N21)/(6*B25))</f>
        <v>0</v>
      </c>
      <c r="C27" s="7" t="s">
        <v>149</v>
      </c>
    </row>
    <row r="28" customFormat="false" ht="15" hidden="false" customHeight="false" outlineLevel="0" collapsed="false">
      <c r="A28" s="6" t="s">
        <v>150</v>
      </c>
      <c r="B28" s="23" t="n">
        <f aca="false">IF(B25=0,0,SUM(O6:O21)/(6*B25))</f>
        <v>5.15068683637958</v>
      </c>
      <c r="C28" s="7" t="s">
        <v>151</v>
      </c>
    </row>
    <row r="29" customFormat="false" ht="15" hidden="false" customHeight="false" outlineLevel="0" collapsed="false">
      <c r="A29" s="6" t="s">
        <v>152</v>
      </c>
      <c r="B29" s="23" t="n">
        <f aca="false">$F$4*SUM(K6:K21)/12-$B$25*$B$28^2</f>
        <v>988366.042776868</v>
      </c>
      <c r="C29" s="7" t="s">
        <v>153</v>
      </c>
    </row>
    <row r="30" customFormat="false" ht="15" hidden="false" customHeight="false" outlineLevel="0" collapsed="false">
      <c r="A30" s="6" t="s">
        <v>154</v>
      </c>
      <c r="B30" s="23" t="n">
        <f aca="false">$F$4*SUM(L6:L21)/12-$B$25*$B$27^2</f>
        <v>3936219.61528605</v>
      </c>
      <c r="C30" s="7" t="s">
        <v>155</v>
      </c>
    </row>
    <row r="31" customFormat="false" ht="15" hidden="false" customHeight="false" outlineLevel="0" collapsed="false">
      <c r="A31" s="6" t="s">
        <v>156</v>
      </c>
      <c r="B31" s="23" t="n">
        <f aca="false">$F$4*SUM(M6:M21)/24-$B$25*$B$27*$B$28</f>
        <v>0</v>
      </c>
      <c r="C31" s="7" t="s">
        <v>157</v>
      </c>
    </row>
    <row r="32" customFormat="false" ht="15" hidden="false" customHeight="false" outlineLevel="0" collapsed="false">
      <c r="A32" s="6" t="s">
        <v>158</v>
      </c>
      <c r="B32" s="23" t="n">
        <f aca="false">($B$29+$B$30)/2-SQRT((($B$29-$B$30)/2)^2+$B$31^2)</f>
        <v>988366.042776867</v>
      </c>
    </row>
    <row r="33" customFormat="false" ht="15" hidden="false" customHeight="false" outlineLevel="0" collapsed="false">
      <c r="A33" s="6" t="s">
        <v>159</v>
      </c>
      <c r="B33" s="23" t="n">
        <f aca="false">($B$29+$B$30)/2+SQRT((($B$29-$B$30)/2)^2+$B$31^2)</f>
        <v>3936219.61528605</v>
      </c>
    </row>
    <row r="34" customFormat="false" ht="15" hidden="false" customHeight="false" outlineLevel="0" collapsed="false">
      <c r="A34" s="6" t="s">
        <v>160</v>
      </c>
      <c r="B34" s="23" t="n">
        <f aca="false">DEGREES(0.5*ATAN2($B$29-$B$30,-2*$B$31))</f>
        <v>-90</v>
      </c>
      <c r="C34" s="7" t="s">
        <v>161</v>
      </c>
    </row>
    <row r="35" customFormat="false" ht="15" hidden="false" customHeight="false" outlineLevel="0" collapsed="false">
      <c r="A35" s="6" t="s">
        <v>162</v>
      </c>
      <c r="B35" s="23" t="n">
        <f aca="false">($B$29+$B$30)/2+($B$29-$B$30)/2*COS(2*RADIANS($B$34))-$B$31*SIN(2*RADIANS($B$34))</f>
        <v>3936219.61528605</v>
      </c>
    </row>
    <row r="36" customFormat="false" ht="15" hidden="false" customHeight="false" outlineLevel="0" collapsed="false">
      <c r="A36" s="6" t="s">
        <v>163</v>
      </c>
      <c r="B36" s="24" t="n">
        <f aca="false">IF(ABS($B$35-$B$32)&lt;ABS($B$35-$B$33),$B$34,$B$34+90)</f>
        <v>0</v>
      </c>
      <c r="C36" s="7" t="s">
        <v>164</v>
      </c>
    </row>
    <row r="37" customFormat="false" ht="15" hidden="false" customHeight="false" outlineLevel="0" collapsed="false">
      <c r="A37" s="6" t="s">
        <v>165</v>
      </c>
      <c r="B37" s="25" t="n">
        <f aca="false">MIN($B$6:$B$21)</f>
        <v>-57.76</v>
      </c>
    </row>
    <row r="38" customFormat="false" ht="15" hidden="false" customHeight="false" outlineLevel="0" collapsed="false">
      <c r="A38" s="6" t="s">
        <v>166</v>
      </c>
      <c r="B38" s="25" t="n">
        <f aca="false">MAX($B$6:$B$21)</f>
        <v>57.76</v>
      </c>
    </row>
    <row r="39" customFormat="false" ht="15" hidden="false" customHeight="false" outlineLevel="0" collapsed="false">
      <c r="A39" s="6" t="s">
        <v>167</v>
      </c>
      <c r="B39" s="25" t="n">
        <f aca="false">MIN($C$6:$C$21)</f>
        <v>-25.95</v>
      </c>
    </row>
    <row r="40" customFormat="false" ht="15" hidden="false" customHeight="false" outlineLevel="0" collapsed="false">
      <c r="A40" s="6" t="s">
        <v>168</v>
      </c>
      <c r="B40" s="25" t="n">
        <f aca="false">MAX($C$6:$C$21)</f>
        <v>32</v>
      </c>
    </row>
    <row r="41" customFormat="false" ht="15" hidden="false" customHeight="false" outlineLevel="0" collapsed="false">
      <c r="A41" s="6" t="s">
        <v>169</v>
      </c>
      <c r="B41" s="25" t="n">
        <f aca="false">$B$38-$B$37</f>
        <v>115.52</v>
      </c>
    </row>
    <row r="42" customFormat="false" ht="15" hidden="false" customHeight="false" outlineLevel="0" collapsed="false">
      <c r="A42" s="6" t="s">
        <v>170</v>
      </c>
      <c r="B42" s="25" t="n">
        <f aca="false">$B$40-$B$39</f>
        <v>57.95</v>
      </c>
    </row>
    <row r="43" customFormat="false" ht="15" hidden="false" customHeight="false" outlineLevel="0" collapsed="false">
      <c r="A43" s="6" t="s">
        <v>171</v>
      </c>
      <c r="B43" s="25" t="n">
        <f aca="false">MAX($B$41,$B$42)</f>
        <v>115.52</v>
      </c>
      <c r="C43" s="7" t="s">
        <v>172</v>
      </c>
    </row>
    <row r="44" customFormat="false" ht="15" hidden="false" customHeight="false" outlineLevel="0" collapsed="false">
      <c r="A44" s="6" t="s">
        <v>173</v>
      </c>
      <c r="B44" s="23" t="n">
        <f aca="false">IF($B$43=0,0,$B$25/$B$43)</f>
        <v>42.2884314404432</v>
      </c>
      <c r="C44" s="7" t="s">
        <v>174</v>
      </c>
    </row>
    <row r="46" customFormat="false" ht="17.15" hidden="false" customHeight="false" outlineLevel="0" collapsed="false">
      <c r="A46" s="3" t="s">
        <v>175</v>
      </c>
    </row>
    <row r="47" customFormat="false" ht="15" hidden="false" customHeight="false" outlineLevel="0" collapsed="false">
      <c r="A47" s="6" t="s">
        <v>176</v>
      </c>
      <c r="B47" s="25" t="n">
        <f aca="false">IF($D47="",$B$43,$D47)</f>
        <v>115.52</v>
      </c>
      <c r="C47" s="7" t="s">
        <v>177</v>
      </c>
      <c r="D47" s="17"/>
    </row>
    <row r="48" customFormat="false" ht="15" hidden="false" customHeight="false" outlineLevel="0" collapsed="false">
      <c r="A48" s="6" t="s">
        <v>178</v>
      </c>
      <c r="B48" s="23" t="n">
        <f aca="false">IF($D48="",$B$44,$D48)</f>
        <v>42.2884314404432</v>
      </c>
      <c r="C48" s="7" t="s">
        <v>177</v>
      </c>
      <c r="D48" s="26"/>
    </row>
    <row r="50" customFormat="false" ht="15" hidden="false" customHeight="false" outlineLevel="0" collapsed="false">
      <c r="A50" s="3" t="s">
        <v>179</v>
      </c>
    </row>
    <row r="51" customFormat="false" ht="15" hidden="false" customHeight="false" outlineLevel="0" collapsed="false">
      <c r="A51" s="6" t="s">
        <v>180</v>
      </c>
      <c r="B51" s="15" t="n">
        <f aca="false">COUNTIF($T$6:$T$21,"入隅(凹)")</f>
        <v>5</v>
      </c>
      <c r="C51" s="7" t="s">
        <v>181</v>
      </c>
    </row>
    <row r="52" customFormat="false" ht="15" hidden="false" customHeight="false" outlineLevel="0" collapsed="false">
      <c r="A52" s="6" t="s">
        <v>182</v>
      </c>
      <c r="B52" s="27" t="n">
        <f aca="false">SUM($R$6:$R$21)</f>
        <v>2160</v>
      </c>
    </row>
    <row r="53" customFormat="false" ht="15" hidden="false" customHeight="false" outlineLevel="0" collapsed="false">
      <c r="A53" s="6" t="s">
        <v>183</v>
      </c>
      <c r="B53" s="27" t="n">
        <f aca="false">($F$3-2)*180</f>
        <v>2160</v>
      </c>
    </row>
    <row r="54" customFormat="false" ht="15" hidden="false" customHeight="false" outlineLevel="0" collapsed="false">
      <c r="A54" s="6" t="s">
        <v>184</v>
      </c>
      <c r="B54" s="24" t="str">
        <f aca="false">IF(ABS($B$52-$B$53)&lt;0.5,"OK","NG:座標の順番を確認")</f>
        <v>OK</v>
      </c>
      <c r="C54" s="7" t="s">
        <v>185</v>
      </c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11" min="9" style="0" width="10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7" min="14" style="0" width="12"/>
    <col collapsed="false" customWidth="true" hidden="false" outlineLevel="0" max="18" min="18" style="0" width="11"/>
  </cols>
  <sheetData>
    <row r="1" customFormat="false" ht="23.85" hidden="false" customHeight="fals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4.15" hidden="false" customHeight="fals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6" t="s">
        <v>188</v>
      </c>
      <c r="D3" s="23" t="n">
        <f aca="false">形状!$B$48/1000</f>
        <v>0.0422884314404432</v>
      </c>
    </row>
    <row r="4" customFormat="false" ht="15" hidden="false" customHeight="false" outlineLevel="0" collapsed="false">
      <c r="A4" s="6" t="s">
        <v>189</v>
      </c>
      <c r="D4" s="23" t="n">
        <f aca="false">形状!$B$47/1000</f>
        <v>0.11552</v>
      </c>
    </row>
    <row r="5" customFormat="false" ht="15" hidden="false" customHeight="false" outlineLevel="0" collapsed="false">
      <c r="A5" s="6" t="s">
        <v>190</v>
      </c>
      <c r="D5" s="23" t="n">
        <f aca="false">形状!$B$25/1000000</f>
        <v>0.0048851596</v>
      </c>
    </row>
    <row r="7" customFormat="false" ht="29.85" hidden="false" customHeight="false" outlineLevel="0" collapsed="false">
      <c r="A7" s="10" t="s">
        <v>191</v>
      </c>
      <c r="B7" s="10" t="s">
        <v>192</v>
      </c>
      <c r="C7" s="10" t="s">
        <v>193</v>
      </c>
      <c r="D7" s="10" t="s">
        <v>194</v>
      </c>
      <c r="E7" s="10" t="s">
        <v>79</v>
      </c>
      <c r="F7" s="10" t="s">
        <v>80</v>
      </c>
      <c r="G7" s="10" t="s">
        <v>81</v>
      </c>
      <c r="H7" s="10" t="s">
        <v>195</v>
      </c>
      <c r="I7" s="10" t="s">
        <v>196</v>
      </c>
      <c r="J7" s="10" t="s">
        <v>197</v>
      </c>
      <c r="K7" s="10" t="s">
        <v>198</v>
      </c>
      <c r="L7" s="10" t="s">
        <v>199</v>
      </c>
      <c r="M7" s="10" t="s">
        <v>200</v>
      </c>
      <c r="N7" s="10" t="s">
        <v>201</v>
      </c>
      <c r="O7" s="10" t="s">
        <v>202</v>
      </c>
      <c r="P7" s="10" t="s">
        <v>203</v>
      </c>
      <c r="Q7" s="10" t="s">
        <v>204</v>
      </c>
      <c r="R7" s="10" t="s">
        <v>205</v>
      </c>
    </row>
    <row r="8" customFormat="false" ht="17.15" hidden="false" customHeight="false" outlineLevel="0" collapsed="false">
      <c r="A8" s="6" t="s">
        <v>206</v>
      </c>
      <c r="B8" s="16" t="n">
        <v>0</v>
      </c>
      <c r="C8" s="8" t="s">
        <v>102</v>
      </c>
      <c r="D8" s="17" t="n">
        <v>0.8</v>
      </c>
      <c r="E8" s="11" t="n">
        <f aca="false">IFERROR(INDEX(材料DB!$B$5:$B$45,MATCH($C8,材料DB!$A$5:$A$45,0)),0)</f>
        <v>205</v>
      </c>
      <c r="F8" s="12" t="n">
        <f aca="false">IFERROR(INDEX(材料DB!$C$5:$C$45,MATCH($C8,材料DB!$A$5:$A$45,0)),0)</f>
        <v>7850</v>
      </c>
      <c r="G8" s="13" t="n">
        <f aca="false">IFERROR(INDEX(材料DB!$D$5:$D$45,MATCH($C8,材料DB!$A$5:$A$45,0)),0)</f>
        <v>0.3</v>
      </c>
      <c r="H8" s="14" t="n">
        <f aca="false">IFERROR(INDEX(材料DB!$E$5:$E$45,MATCH($C8,材料DB!$A$5:$A$45,0)),0)</f>
        <v>0.0002</v>
      </c>
      <c r="I8" s="19" t="n">
        <f aca="false">IF($B8=1,$D8/1000,0)</f>
        <v>0</v>
      </c>
      <c r="J8" s="19" t="n">
        <f aca="false">0</f>
        <v>0</v>
      </c>
      <c r="K8" s="19" t="n">
        <f aca="false">J8+I8/2</f>
        <v>0</v>
      </c>
      <c r="L8" s="19" t="n">
        <f aca="false">E8*1000000000*$D$3*I8</f>
        <v>0</v>
      </c>
      <c r="M8" s="19" t="n">
        <f aca="false">L8*K8</f>
        <v>0</v>
      </c>
      <c r="N8" s="19" t="n">
        <f aca="false">F8*$D$3*I8</f>
        <v>0</v>
      </c>
      <c r="O8" s="19" t="n">
        <f aca="false">E8*1000000000*$D$3*(I8^3/12+I8*(K8-$D$14)^2)</f>
        <v>0</v>
      </c>
      <c r="P8" s="19" t="n">
        <f aca="false">E8*1000000000*(I8*$D$3^3/12)</f>
        <v>0</v>
      </c>
      <c r="Q8" s="19" t="n">
        <f aca="false">L8</f>
        <v>0</v>
      </c>
      <c r="R8" s="19" t="n">
        <f aca="false">H8*O8</f>
        <v>0</v>
      </c>
    </row>
    <row r="9" customFormat="false" ht="17.15" hidden="false" customHeight="false" outlineLevel="0" collapsed="false">
      <c r="A9" s="6" t="s">
        <v>207</v>
      </c>
      <c r="B9" s="16" t="n">
        <v>1</v>
      </c>
      <c r="C9" s="8" t="s">
        <v>86</v>
      </c>
      <c r="D9" s="17" t="n">
        <v>5</v>
      </c>
      <c r="E9" s="11" t="n">
        <f aca="false">IFERROR(INDEX(材料DB!$B$5:$B$45,MATCH($C9,材料DB!$A$5:$A$45,0)),0)</f>
        <v>205</v>
      </c>
      <c r="F9" s="12" t="n">
        <f aca="false">IFERROR(INDEX(材料DB!$C$5:$C$45,MATCH($C9,材料DB!$A$5:$A$45,0)),0)</f>
        <v>7850</v>
      </c>
      <c r="G9" s="13" t="n">
        <f aca="false">IFERROR(INDEX(材料DB!$D$5:$D$45,MATCH($C9,材料DB!$A$5:$A$45,0)),0)</f>
        <v>0.3</v>
      </c>
      <c r="H9" s="14" t="n">
        <f aca="false">IFERROR(INDEX(材料DB!$E$5:$E$45,MATCH($C9,材料DB!$A$5:$A$45,0)),0)</f>
        <v>0.0002</v>
      </c>
      <c r="I9" s="19" t="n">
        <f aca="false">IF($B9=1,$D9/1000,0)</f>
        <v>0.005</v>
      </c>
      <c r="J9" s="19" t="n">
        <f aca="false">J8+I8</f>
        <v>0</v>
      </c>
      <c r="K9" s="19" t="n">
        <f aca="false">J9+I9/2</f>
        <v>0.0025</v>
      </c>
      <c r="L9" s="19" t="n">
        <f aca="false">E9*1000000000*$D$3*I9</f>
        <v>43345642.2264543</v>
      </c>
      <c r="M9" s="19" t="n">
        <f aca="false">L9*K9</f>
        <v>108364.105566136</v>
      </c>
      <c r="N9" s="19" t="n">
        <f aca="false">F9*$D$3*I9</f>
        <v>1.6598209340374</v>
      </c>
      <c r="O9" s="19" t="n">
        <f aca="false">E9*1000000000*$D$3*(I9^3/12+I9*(K9-$D$14)^2)</f>
        <v>90.3034213051131</v>
      </c>
      <c r="P9" s="19" t="n">
        <f aca="false">E9*1000000000*(I9*$D$3^3/12)</f>
        <v>6459.62563286143</v>
      </c>
      <c r="Q9" s="19" t="n">
        <f aca="false">L9</f>
        <v>43345642.2264543</v>
      </c>
      <c r="R9" s="19" t="n">
        <f aca="false">H9*O9</f>
        <v>0.0180606842610226</v>
      </c>
    </row>
    <row r="10" customFormat="false" ht="17.15" hidden="false" customHeight="false" outlineLevel="0" collapsed="false">
      <c r="A10" s="6" t="s">
        <v>208</v>
      </c>
      <c r="B10" s="16" t="n">
        <v>0</v>
      </c>
      <c r="C10" s="8" t="s">
        <v>109</v>
      </c>
      <c r="D10" s="17" t="n">
        <v>0.2</v>
      </c>
      <c r="E10" s="11" t="n">
        <f aca="false">IFERROR(INDEX(材料DB!$B$5:$B$45,MATCH($C10,材料DB!$A$5:$A$45,0)),0)</f>
        <v>3</v>
      </c>
      <c r="F10" s="12" t="n">
        <f aca="false">IFERROR(INDEX(材料DB!$C$5:$C$45,MATCH($C10,材料DB!$A$5:$A$45,0)),0)</f>
        <v>1300</v>
      </c>
      <c r="G10" s="13" t="n">
        <f aca="false">IFERROR(INDEX(材料DB!$D$5:$D$45,MATCH($C10,材料DB!$A$5:$A$45,0)),0)</f>
        <v>0.35</v>
      </c>
      <c r="H10" s="14" t="n">
        <f aca="false">IFERROR(INDEX(材料DB!$E$5:$E$45,MATCH($C10,材料DB!$A$5:$A$45,0)),0)</f>
        <v>0.08</v>
      </c>
      <c r="I10" s="19" t="n">
        <f aca="false">IF($B10=1,$D10/1000,0)</f>
        <v>0</v>
      </c>
      <c r="J10" s="19" t="n">
        <f aca="false">J9+I9</f>
        <v>0.005</v>
      </c>
      <c r="K10" s="19" t="n">
        <f aca="false">J10+I10/2</f>
        <v>0.005</v>
      </c>
      <c r="L10" s="19" t="n">
        <f aca="false">E10*1000000000*$D$3*I10</f>
        <v>0</v>
      </c>
      <c r="M10" s="19" t="n">
        <f aca="false">L10*K10</f>
        <v>0</v>
      </c>
      <c r="N10" s="19" t="n">
        <f aca="false">F10*$D$3*I10</f>
        <v>0</v>
      </c>
      <c r="O10" s="19" t="n">
        <f aca="false">E10*1000000000*$D$3*(I10^3/12+I10*(K10-$D$14)^2)</f>
        <v>0</v>
      </c>
      <c r="P10" s="19" t="n">
        <f aca="false">E10*1000000000*(I10*$D$3^3/12)</f>
        <v>0</v>
      </c>
      <c r="Q10" s="19" t="n">
        <f aca="false">L10</f>
        <v>0</v>
      </c>
      <c r="R10" s="19" t="n">
        <f aca="false">H10*O10</f>
        <v>0</v>
      </c>
    </row>
    <row r="12" customFormat="false" ht="15" hidden="false" customHeight="false" outlineLevel="0" collapsed="false">
      <c r="A12" s="3" t="s">
        <v>209</v>
      </c>
    </row>
    <row r="13" customFormat="false" ht="15" hidden="false" customHeight="false" outlineLevel="0" collapsed="false">
      <c r="A13" s="6" t="s">
        <v>210</v>
      </c>
      <c r="D13" s="23" t="n">
        <f aca="false">SUM(L8:L10)</f>
        <v>43345642.2264543</v>
      </c>
      <c r="E13" s="7" t="s">
        <v>211</v>
      </c>
    </row>
    <row r="14" customFormat="false" ht="15" hidden="false" customHeight="false" outlineLevel="0" collapsed="false">
      <c r="A14" s="6" t="s">
        <v>212</v>
      </c>
      <c r="D14" s="23" t="n">
        <f aca="false">IF($D$13=0,0,SUM(M8:M10)/$D$13)</f>
        <v>0.0025</v>
      </c>
      <c r="E14" s="7" t="s">
        <v>213</v>
      </c>
    </row>
    <row r="15" customFormat="false" ht="15" hidden="false" customHeight="false" outlineLevel="0" collapsed="false">
      <c r="A15" s="6" t="s">
        <v>214</v>
      </c>
      <c r="D15" s="23" t="n">
        <f aca="false">SUM(O8:O10)</f>
        <v>90.3034213051131</v>
      </c>
      <c r="E15" s="7" t="s">
        <v>215</v>
      </c>
    </row>
    <row r="16" customFormat="false" ht="15" hidden="false" customHeight="false" outlineLevel="0" collapsed="false">
      <c r="A16" s="6" t="s">
        <v>216</v>
      </c>
      <c r="D16" s="23" t="n">
        <f aca="false">SUM(P8:P10)</f>
        <v>6459.62563286143</v>
      </c>
      <c r="E16" s="7" t="s">
        <v>217</v>
      </c>
    </row>
    <row r="17" customFormat="false" ht="15" hidden="false" customHeight="false" outlineLevel="0" collapsed="false">
      <c r="A17" s="6" t="s">
        <v>218</v>
      </c>
      <c r="D17" s="23" t="n">
        <f aca="false">SUM(Q8:Q10)</f>
        <v>43345642.2264543</v>
      </c>
      <c r="E17" s="7" t="s">
        <v>219</v>
      </c>
    </row>
    <row r="18" customFormat="false" ht="15" hidden="false" customHeight="false" outlineLevel="0" collapsed="false">
      <c r="A18" s="6" t="s">
        <v>220</v>
      </c>
      <c r="D18" s="23" t="n">
        <f aca="false">SUM(N8:N10)</f>
        <v>1.6598209340374</v>
      </c>
      <c r="E18" s="7" t="s">
        <v>221</v>
      </c>
    </row>
    <row r="19" customFormat="false" ht="15" hidden="false" customHeight="false" outlineLevel="0" collapsed="false">
      <c r="A19" s="6" t="s">
        <v>222</v>
      </c>
      <c r="D19" s="23" t="n">
        <f aca="false">SUM(I8:I10)</f>
        <v>0.005</v>
      </c>
      <c r="E19" s="7" t="s">
        <v>223</v>
      </c>
    </row>
    <row r="20" customFormat="false" ht="15" hidden="false" customHeight="false" outlineLevel="0" collapsed="false">
      <c r="A20" s="6" t="s">
        <v>224</v>
      </c>
      <c r="D20" s="23" t="n">
        <f aca="false">IF($D$19=0,0,$D$15/($D$3*$D$19^3/12)/1000000000)</f>
        <v>205</v>
      </c>
      <c r="E20" s="7" t="s">
        <v>225</v>
      </c>
    </row>
    <row r="21" customFormat="false" ht="15" hidden="false" customHeight="false" outlineLevel="0" collapsed="false">
      <c r="A21" s="6" t="s">
        <v>226</v>
      </c>
      <c r="D21" s="23" t="n">
        <f aca="false">IF($D$19=0,0,$D$18/($D$3*$D$19))</f>
        <v>7850</v>
      </c>
      <c r="E21" s="7" t="s">
        <v>227</v>
      </c>
    </row>
    <row r="22" customFormat="false" ht="15" hidden="false" customHeight="false" outlineLevel="0" collapsed="false">
      <c r="A22" s="6" t="s">
        <v>228</v>
      </c>
      <c r="D22" s="23" t="n">
        <f aca="false">IF($D$13=0,0.3,SUMPRODUCT(G8:G10,L8:L10)/$D$13)</f>
        <v>0.3</v>
      </c>
      <c r="E22" s="7" t="s">
        <v>229</v>
      </c>
    </row>
    <row r="23" customFormat="false" ht="15" hidden="false" customHeight="false" outlineLevel="0" collapsed="false">
      <c r="A23" s="6" t="s">
        <v>230</v>
      </c>
      <c r="D23" s="23" t="n">
        <f aca="false">$D$20*1000000000/(2*(1+$D$22))</f>
        <v>78846153846.1538</v>
      </c>
      <c r="E23" s="7" t="s">
        <v>231</v>
      </c>
    </row>
    <row r="24" customFormat="false" ht="15" hidden="false" customHeight="false" outlineLevel="0" collapsed="false">
      <c r="A24" s="6" t="s">
        <v>232</v>
      </c>
      <c r="D24" s="23" t="n">
        <f aca="false">IF($D$3&lt;=0,0,(1/3)*(1-0.63*($D$19/$D$3)+0.052*($D$19/$D$3)^5))</f>
        <v>0.308504248241459</v>
      </c>
      <c r="E24" s="7" t="s">
        <v>233</v>
      </c>
    </row>
    <row r="25" customFormat="false" ht="15" hidden="false" customHeight="false" outlineLevel="0" collapsed="false">
      <c r="A25" s="6" t="s">
        <v>234</v>
      </c>
      <c r="D25" s="23" t="n">
        <f aca="false">$D$23*$D$24*$D$3*$D$19^3</f>
        <v>128.579949707842</v>
      </c>
      <c r="E25" s="7" t="s">
        <v>235</v>
      </c>
    </row>
    <row r="26" customFormat="false" ht="15" hidden="false" customHeight="false" outlineLevel="0" collapsed="false">
      <c r="A26" s="6" t="s">
        <v>236</v>
      </c>
      <c r="D26" s="23" t="n">
        <f aca="false">$D$18*($D$3^2+$D$19^2)/12</f>
        <v>0.000250814356464426</v>
      </c>
      <c r="E26" s="7" t="s">
        <v>237</v>
      </c>
    </row>
    <row r="27" customFormat="false" ht="15" hidden="false" customHeight="false" outlineLevel="0" collapsed="false">
      <c r="A27" s="6" t="s">
        <v>238</v>
      </c>
      <c r="D27" s="23" t="n">
        <f aca="false">IF($D$15=0,0,SUM(R8:R10)/$D$15)</f>
        <v>0.0002</v>
      </c>
      <c r="E27" s="7" t="s">
        <v>239</v>
      </c>
    </row>
    <row r="28" customFormat="false" ht="15" hidden="false" customHeight="false" outlineLevel="0" collapsed="false">
      <c r="A28" s="6" t="s">
        <v>240</v>
      </c>
      <c r="D28" s="23" t="n">
        <f aca="false">SUMPRODUCT(F8:F10,I8:I10)*$D$5*1000</f>
        <v>191.7425143</v>
      </c>
      <c r="E28" s="7" t="s">
        <v>241</v>
      </c>
    </row>
    <row r="30" customFormat="false" ht="15" hidden="false" customHeight="false" outlineLevel="0" collapsed="false">
      <c r="A30" s="28" t="s">
        <v>242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</row>
    <row r="31" customFormat="false" ht="15" hidden="false" customHeight="false" outlineLevel="0" collapsed="false">
      <c r="A31" s="29" t="s">
        <v>243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</row>
    <row r="32" customFormat="false" ht="14.15" hidden="false" customHeight="false" outlineLevel="0" collapsed="false">
      <c r="A32" s="29" t="s">
        <v>244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customFormat="false" ht="14.15" hidden="false" customHeight="false" outlineLevel="0" collapsed="false">
      <c r="A33" s="29" t="s">
        <v>245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</row>
  </sheetData>
  <mergeCells count="6">
    <mergeCell ref="A1:R1"/>
    <mergeCell ref="A2:R2"/>
    <mergeCell ref="A30:R30"/>
    <mergeCell ref="A31:R31"/>
    <mergeCell ref="A32:R32"/>
    <mergeCell ref="A33:R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42"/>
    <col collapsed="false" customWidth="true" hidden="false" outlineLevel="0" max="14" min="14" style="0" width="3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6"/>
  </cols>
  <sheetData>
    <row r="1" customFormat="false" ht="19.7" hidden="false" customHeight="false" outlineLevel="0" collapsed="false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6" t="s">
        <v>248</v>
      </c>
      <c r="D3" s="30"/>
      <c r="E3" s="23" t="n">
        <f aca="false">IF($D$3="",断面!$D$27,$D$3)</f>
        <v>0.0002</v>
      </c>
      <c r="F3" s="6" t="s">
        <v>249</v>
      </c>
      <c r="I3" s="16" t="n">
        <v>1</v>
      </c>
      <c r="J3" s="6" t="s">
        <v>250</v>
      </c>
      <c r="K3" s="22" t="n">
        <f aca="false">5/6</f>
        <v>0.833333333333333</v>
      </c>
    </row>
    <row r="4" customFormat="false" ht="15" hidden="false" customHeight="false" outlineLevel="0" collapsed="false">
      <c r="A4" s="6" t="s">
        <v>251</v>
      </c>
      <c r="D4" s="23" t="n">
        <f aca="false">断面!$D$19/SQRT(12)</f>
        <v>0.00144337567297406</v>
      </c>
      <c r="E4" s="6" t="s">
        <v>252</v>
      </c>
      <c r="F4" s="23" t="n">
        <f aca="false">断面!$D$3/SQRT(12)</f>
        <v>0.0122076186378735</v>
      </c>
      <c r="G4" s="6" t="s">
        <v>253</v>
      </c>
      <c r="H4" s="23" t="n">
        <f aca="false">1+2*(1+断面!$D$22)/$K$3</f>
        <v>4.12</v>
      </c>
    </row>
    <row r="5" customFormat="false" ht="15" hidden="false" customHeight="false" outlineLevel="0" collapsed="false">
      <c r="A5" s="10" t="s">
        <v>254</v>
      </c>
      <c r="B5" s="10" t="s">
        <v>255</v>
      </c>
      <c r="C5" s="10" t="s">
        <v>256</v>
      </c>
      <c r="D5" s="10" t="s">
        <v>257</v>
      </c>
      <c r="E5" s="10" t="s">
        <v>258</v>
      </c>
      <c r="F5" s="10" t="s">
        <v>259</v>
      </c>
      <c r="G5" s="10" t="s">
        <v>260</v>
      </c>
      <c r="H5" s="10" t="s">
        <v>261</v>
      </c>
      <c r="I5" s="10" t="s">
        <v>262</v>
      </c>
      <c r="J5" s="10" t="s">
        <v>263</v>
      </c>
      <c r="K5" s="10" t="s">
        <v>264</v>
      </c>
      <c r="L5" s="10" t="s">
        <v>265</v>
      </c>
      <c r="M5" s="10" t="s">
        <v>266</v>
      </c>
      <c r="O5" s="10" t="s">
        <v>267</v>
      </c>
      <c r="P5" s="10" t="s">
        <v>195</v>
      </c>
      <c r="Q5" s="10" t="s">
        <v>268</v>
      </c>
    </row>
    <row r="6" customFormat="false" ht="15" hidden="false" customHeight="false" outlineLevel="0" collapsed="false">
      <c r="A6" s="12" t="n">
        <v>1</v>
      </c>
      <c r="B6" s="6" t="s">
        <v>269</v>
      </c>
      <c r="C6" s="12" t="n">
        <v>1</v>
      </c>
      <c r="D6" s="20" t="n">
        <v>4.730041</v>
      </c>
      <c r="E6" s="20" t="n">
        <f aca="false">D6^2</f>
        <v>22.373287861681</v>
      </c>
      <c r="F6" s="20" t="n">
        <f aca="false">IFERROR(E6/(2*PI()*断面!$D$4^2)*SQRT(断面!$D$15/断面!$D$18),0)</f>
        <v>1968.14488152353</v>
      </c>
      <c r="G6" s="20" t="n">
        <f aca="false">IFERROR(1/SQRT(1+E6*($D$4/断面!$D$4)^2*$H$4),1)</f>
        <v>0.992881559982336</v>
      </c>
      <c r="H6" s="20" t="n">
        <f aca="false">F6*G6</f>
        <v>1954.13476023834</v>
      </c>
      <c r="I6" s="23" t="n">
        <f aca="false">IF($I$3=1,H6,F6)</f>
        <v>1954.13476023834</v>
      </c>
      <c r="J6" s="20" t="n">
        <f aca="false">IFERROR(2*PI()*断面!$D$4/D6*1000,0)</f>
        <v>153.451855213387</v>
      </c>
      <c r="K6" s="20" t="n">
        <f aca="false">IFERROR(J6/(断面!$D$19*1000),0)</f>
        <v>30.6903710426775</v>
      </c>
      <c r="L6" s="21" t="str">
        <f aca="false">IF(K6&gt;=6,"🟢 良",IF(K6&gt;=3,"🟡 誤差±10%程度","🔴 参考値のみ"))</f>
        <v>🟢 良</v>
      </c>
      <c r="M6" s="7" t="s">
        <v>270</v>
      </c>
      <c r="O6" s="20" t="n">
        <f aca="false">IF(I6&lt;=0,1000000000,I6)</f>
        <v>1954.13476023834</v>
      </c>
      <c r="P6" s="20" t="n">
        <f aca="false">$E$3</f>
        <v>0.0002</v>
      </c>
      <c r="Q6" s="12" t="n">
        <v>1</v>
      </c>
    </row>
    <row r="7" customFormat="false" ht="15" hidden="false" customHeight="false" outlineLevel="0" collapsed="false">
      <c r="A7" s="12" t="n">
        <v>2</v>
      </c>
      <c r="B7" s="6" t="s">
        <v>269</v>
      </c>
      <c r="C7" s="12" t="n">
        <v>2</v>
      </c>
      <c r="D7" s="20" t="n">
        <v>7.853205</v>
      </c>
      <c r="E7" s="20" t="n">
        <f aca="false">D7^2</f>
        <v>61.672828772025</v>
      </c>
      <c r="F7" s="20" t="n">
        <f aca="false">IFERROR(E7/(2*PI()*断面!$D$4^2)*SQRT(断面!$D$15/断面!$D$18),0)</f>
        <v>5425.26708757139</v>
      </c>
      <c r="G7" s="20" t="n">
        <f aca="false">IFERROR(1/SQRT(1+E7*($D$4/断面!$D$4)^2*$H$4),1)</f>
        <v>0.980737436477498</v>
      </c>
      <c r="H7" s="20" t="n">
        <f aca="false">F7*G7</f>
        <v>5320.7625356705</v>
      </c>
      <c r="I7" s="23" t="n">
        <f aca="false">IF($I$3=1,H7,F7)</f>
        <v>5320.7625356705</v>
      </c>
      <c r="J7" s="20" t="n">
        <f aca="false">IFERROR(2*PI()*断面!$D$4/D7*1000,0)</f>
        <v>92.425139377539</v>
      </c>
      <c r="K7" s="20" t="n">
        <f aca="false">IFERROR(J7/(断面!$D$19*1000),0)</f>
        <v>18.4850278755078</v>
      </c>
      <c r="L7" s="21" t="str">
        <f aca="false">IF(K7&gt;=6,"🟢 良",IF(K7&gt;=3,"🟡 誤差±10%程度","🔴 参考値のみ"))</f>
        <v>🟢 良</v>
      </c>
      <c r="M7" s="7" t="s">
        <v>270</v>
      </c>
      <c r="O7" s="20" t="n">
        <f aca="false">IF(I7&lt;=0,1000000000,I7)</f>
        <v>5320.7625356705</v>
      </c>
      <c r="P7" s="20" t="n">
        <f aca="false">$E$3</f>
        <v>0.0002</v>
      </c>
      <c r="Q7" s="12" t="n">
        <v>1</v>
      </c>
    </row>
    <row r="8" customFormat="false" ht="15" hidden="false" customHeight="false" outlineLevel="0" collapsed="false">
      <c r="A8" s="12" t="n">
        <v>3</v>
      </c>
      <c r="B8" s="6" t="s">
        <v>269</v>
      </c>
      <c r="C8" s="12" t="n">
        <v>3</v>
      </c>
      <c r="D8" s="20" t="n">
        <v>10.995608</v>
      </c>
      <c r="E8" s="20" t="n">
        <f aca="false">D8^2</f>
        <v>120.903395289664</v>
      </c>
      <c r="F8" s="20" t="n">
        <f aca="false">IFERROR(E8/(2*PI()*断面!$D$4^2)*SQRT(断面!$D$15/断面!$D$18),0)</f>
        <v>10635.6919943679</v>
      </c>
      <c r="G8" s="20" t="n">
        <f aca="false">IFERROR(1/SQRT(1+E8*($D$4/断面!$D$4)^2*$H$4),1)</f>
        <v>0.963247983536782</v>
      </c>
      <c r="H8" s="20" t="n">
        <f aca="false">F8*G8</f>
        <v>10244.8088670932</v>
      </c>
      <c r="I8" s="23" t="n">
        <f aca="false">IF($I$3=1,H8,F8)</f>
        <v>10244.8088670932</v>
      </c>
      <c r="J8" s="20" t="n">
        <f aca="false">IFERROR(2*PI()*断面!$D$4/D8*1000,0)</f>
        <v>66.0112261809793</v>
      </c>
      <c r="K8" s="20" t="n">
        <f aca="false">IFERROR(J8/(断面!$D$19*1000),0)</f>
        <v>13.2022452361959</v>
      </c>
      <c r="L8" s="21" t="str">
        <f aca="false">IF(K8&gt;=6,"🟢 良",IF(K8&gt;=3,"🟡 誤差±10%程度","🔴 参考値のみ"))</f>
        <v>🟢 良</v>
      </c>
      <c r="M8" s="7" t="s">
        <v>270</v>
      </c>
      <c r="O8" s="20" t="n">
        <f aca="false">IF(I8&lt;=0,1000000000,I8)</f>
        <v>10244.8088670932</v>
      </c>
      <c r="P8" s="20" t="n">
        <f aca="false">$E$3</f>
        <v>0.0002</v>
      </c>
      <c r="Q8" s="12" t="n">
        <v>1</v>
      </c>
    </row>
    <row r="9" customFormat="false" ht="15" hidden="false" customHeight="false" outlineLevel="0" collapsed="false">
      <c r="A9" s="12" t="n">
        <v>4</v>
      </c>
      <c r="B9" s="6" t="s">
        <v>269</v>
      </c>
      <c r="C9" s="12" t="n">
        <v>4</v>
      </c>
      <c r="D9" s="20" t="n">
        <v>14.137165</v>
      </c>
      <c r="E9" s="20" t="n">
        <f aca="false">D9^2</f>
        <v>199.859434237225</v>
      </c>
      <c r="F9" s="20" t="n">
        <f aca="false">IFERROR(E9/(2*PI()*断面!$D$4^2)*SQRT(断面!$D$15/断面!$D$18),0)</f>
        <v>17581.3373943971</v>
      </c>
      <c r="G9" s="20" t="n">
        <f aca="false">IFERROR(1/SQRT(1+E9*($D$4/断面!$D$4)^2*$H$4),1)</f>
        <v>0.941325726819404</v>
      </c>
      <c r="H9" s="20" t="n">
        <f aca="false">F9*G9</f>
        <v>16549.765201238</v>
      </c>
      <c r="I9" s="23" t="n">
        <f aca="false">IF($I$3=1,H9,F9)</f>
        <v>16549.765201238</v>
      </c>
      <c r="J9" s="20" t="n">
        <f aca="false">IFERROR(2*PI()*断面!$D$4/D9*1000,0)</f>
        <v>51.3422292719499</v>
      </c>
      <c r="K9" s="20" t="n">
        <f aca="false">IFERROR(J9/(断面!$D$19*1000),0)</f>
        <v>10.26844585439</v>
      </c>
      <c r="L9" s="21" t="str">
        <f aca="false">IF(K9&gt;=6,"🟢 良",IF(K9&gt;=3,"🟡 誤差±10%程度","🔴 参考値のみ"))</f>
        <v>🟢 良</v>
      </c>
      <c r="M9" s="7" t="s">
        <v>270</v>
      </c>
      <c r="O9" s="20" t="n">
        <f aca="false">IF(I9&lt;=0,1000000000,I9)</f>
        <v>16549.765201238</v>
      </c>
      <c r="P9" s="20" t="n">
        <f aca="false">$E$3</f>
        <v>0.0002</v>
      </c>
      <c r="Q9" s="12" t="n">
        <v>1</v>
      </c>
    </row>
    <row r="10" customFormat="false" ht="15" hidden="false" customHeight="false" outlineLevel="0" collapsed="false">
      <c r="A10" s="12" t="n">
        <v>5</v>
      </c>
      <c r="B10" s="6" t="s">
        <v>269</v>
      </c>
      <c r="C10" s="12" t="n">
        <v>5</v>
      </c>
      <c r="D10" s="20" t="n">
        <v>17.27876</v>
      </c>
      <c r="E10" s="20" t="n">
        <f aca="false">D10^2</f>
        <v>298.5555471376</v>
      </c>
      <c r="F10" s="20" t="n">
        <f aca="false">IFERROR(E10/(2*PI()*断面!$D$4^2)*SQRT(断面!$D$15/断面!$D$18),0)</f>
        <v>26263.4877619268</v>
      </c>
      <c r="G10" s="20" t="n">
        <f aca="false">IFERROR(1/SQRT(1+E10*($D$4/断面!$D$4)^2*$H$4),1)</f>
        <v>0.915918000000491</v>
      </c>
      <c r="H10" s="20" t="n">
        <f aca="false">F10*G10</f>
        <v>24055.2011839414</v>
      </c>
      <c r="I10" s="23" t="n">
        <f aca="false">IF($I$3=1,H10,F10)</f>
        <v>24055.2011839414</v>
      </c>
      <c r="J10" s="20" t="n">
        <f aca="false">IFERROR(2*PI()*断面!$D$4/D10*1000,0)</f>
        <v>42.0072717420339</v>
      </c>
      <c r="K10" s="20" t="n">
        <f aca="false">IFERROR(J10/(断面!$D$19*1000),0)</f>
        <v>8.40145434840678</v>
      </c>
      <c r="L10" s="21" t="str">
        <f aca="false">IF(K10&gt;=6,"🟢 良",IF(K10&gt;=3,"🟡 誤差±10%程度","🔴 参考値のみ"))</f>
        <v>🟢 良</v>
      </c>
      <c r="M10" s="7" t="s">
        <v>270</v>
      </c>
      <c r="O10" s="20" t="n">
        <f aca="false">IF(I10&lt;=0,1000000000,I10)</f>
        <v>24055.2011839414</v>
      </c>
      <c r="P10" s="20" t="n">
        <f aca="false">$E$3</f>
        <v>0.0002</v>
      </c>
      <c r="Q10" s="12" t="n">
        <v>1</v>
      </c>
    </row>
    <row r="11" customFormat="false" ht="15" hidden="false" customHeight="false" outlineLevel="0" collapsed="false">
      <c r="A11" s="12" t="n">
        <v>6</v>
      </c>
      <c r="B11" s="6" t="s">
        <v>269</v>
      </c>
      <c r="C11" s="12" t="n">
        <v>6</v>
      </c>
      <c r="D11" s="20" t="n">
        <v>20.420352</v>
      </c>
      <c r="E11" s="20" t="n">
        <f aca="false">D11^2</f>
        <v>416.990775803904</v>
      </c>
      <c r="F11" s="20" t="n">
        <f aca="false">IFERROR(E11/(2*PI()*断面!$D$4^2)*SQRT(断面!$D$15/断面!$D$18),0)</f>
        <v>36682.0588066808</v>
      </c>
      <c r="G11" s="20" t="n">
        <f aca="false">IFERROR(1/SQRT(1+E11*($D$4/断面!$D$4)^2*$H$4),1)</f>
        <v>0.8879840048237</v>
      </c>
      <c r="H11" s="20" t="n">
        <f aca="false">F11*G11</f>
        <v>32573.0814843349</v>
      </c>
      <c r="I11" s="23" t="n">
        <f aca="false">IF($I$3=1,H11,F11)</f>
        <v>32573.0814843349</v>
      </c>
      <c r="J11" s="20" t="n">
        <f aca="false">IFERROR(2*PI()*断面!$D$4/D11*1000,0)</f>
        <v>35.5446158168765</v>
      </c>
      <c r="K11" s="20" t="n">
        <f aca="false">IFERROR(J11/(断面!$D$19*1000),0)</f>
        <v>7.1089231633753</v>
      </c>
      <c r="L11" s="21" t="str">
        <f aca="false">IF(K11&gt;=6,"🟢 良",IF(K11&gt;=3,"🟡 誤差±10%程度","🔴 参考値のみ"))</f>
        <v>🟢 良</v>
      </c>
      <c r="M11" s="7" t="s">
        <v>270</v>
      </c>
      <c r="O11" s="20" t="n">
        <f aca="false">IF(I11&lt;=0,1000000000,I11)</f>
        <v>32573.0814843349</v>
      </c>
      <c r="P11" s="20" t="n">
        <f aca="false">$E$3</f>
        <v>0.0002</v>
      </c>
      <c r="Q11" s="12" t="n">
        <v>1</v>
      </c>
    </row>
    <row r="12" customFormat="false" ht="15" hidden="false" customHeight="false" outlineLevel="0" collapsed="false">
      <c r="A12" s="12" t="n">
        <v>7</v>
      </c>
      <c r="B12" s="6" t="s">
        <v>271</v>
      </c>
      <c r="C12" s="12" t="n">
        <v>1</v>
      </c>
      <c r="D12" s="12" t="n">
        <v>1</v>
      </c>
      <c r="E12" s="20" t="n">
        <f aca="false">D12^2</f>
        <v>1</v>
      </c>
      <c r="F12" s="20" t="n">
        <f aca="false">IFERROR(D12/(2*断面!$D$4)*SQRT(断面!$D$25/断面!$D$26),0)</f>
        <v>3099.01197257708</v>
      </c>
      <c r="G12" s="20" t="n">
        <v>1</v>
      </c>
      <c r="H12" s="20" t="n">
        <f aca="false">F12*G12</f>
        <v>3099.01197257708</v>
      </c>
      <c r="I12" s="23" t="n">
        <f aca="false">IF($I$3=1,H12,F12)</f>
        <v>3099.01197257708</v>
      </c>
      <c r="J12" s="20" t="n">
        <f aca="false">IFERROR(2*断面!$D$4/D12*1000,0)</f>
        <v>231.04</v>
      </c>
      <c r="K12" s="20" t="n">
        <f aca="false">IFERROR(J12/(MAX(断面!$D$3,断面!$D$19)*1000),0)</f>
        <v>5.46343271978258</v>
      </c>
      <c r="L12" s="21" t="str">
        <f aca="false">IF(K12&gt;=6,"🟢 良",IF(K12&gt;=3,"🟡 誤差±10%程度","🔴 参考値のみ"))</f>
        <v>🟡 誤差±10%程度</v>
      </c>
      <c r="M12" s="7" t="s">
        <v>272</v>
      </c>
      <c r="O12" s="20" t="n">
        <f aca="false">IF(I12&lt;=0,1000000000,I12)</f>
        <v>3099.01197257708</v>
      </c>
      <c r="P12" s="20" t="n">
        <f aca="false">$E$3</f>
        <v>0.0002</v>
      </c>
      <c r="Q12" s="12" t="n">
        <v>1</v>
      </c>
    </row>
    <row r="13" customFormat="false" ht="15" hidden="false" customHeight="false" outlineLevel="0" collapsed="false">
      <c r="A13" s="12" t="n">
        <v>8</v>
      </c>
      <c r="B13" s="6" t="s">
        <v>271</v>
      </c>
      <c r="C13" s="12" t="n">
        <v>2</v>
      </c>
      <c r="D13" s="12" t="n">
        <v>2</v>
      </c>
      <c r="E13" s="20" t="n">
        <f aca="false">D13^2</f>
        <v>4</v>
      </c>
      <c r="F13" s="20" t="n">
        <f aca="false">IFERROR(D13/(2*断面!$D$4)*SQRT(断面!$D$25/断面!$D$26),0)</f>
        <v>6198.02394515416</v>
      </c>
      <c r="G13" s="20" t="n">
        <v>1</v>
      </c>
      <c r="H13" s="20" t="n">
        <f aca="false">F13*G13</f>
        <v>6198.02394515416</v>
      </c>
      <c r="I13" s="23" t="n">
        <f aca="false">IF($I$3=1,H13,F13)</f>
        <v>6198.02394515416</v>
      </c>
      <c r="J13" s="20" t="n">
        <f aca="false">IFERROR(2*断面!$D$4/D13*1000,0)</f>
        <v>115.52</v>
      </c>
      <c r="K13" s="20" t="n">
        <f aca="false">IFERROR(J13/(MAX(断面!$D$3,断面!$D$19)*1000),0)</f>
        <v>2.73171635989129</v>
      </c>
      <c r="L13" s="21" t="str">
        <f aca="false">IF(K13&gt;=6,"🟢 良",IF(K13&gt;=3,"🟡 誤差±10%程度","🔴 参考値のみ"))</f>
        <v>🔴 参考値のみ</v>
      </c>
      <c r="M13" s="7" t="s">
        <v>272</v>
      </c>
      <c r="O13" s="20" t="n">
        <f aca="false">IF(I13&lt;=0,1000000000,I13)</f>
        <v>6198.02394515416</v>
      </c>
      <c r="P13" s="20" t="n">
        <f aca="false">$E$3</f>
        <v>0.0002</v>
      </c>
      <c r="Q13" s="12" t="n">
        <v>1</v>
      </c>
    </row>
    <row r="14" customFormat="false" ht="15" hidden="false" customHeight="false" outlineLevel="0" collapsed="false">
      <c r="A14" s="12" t="n">
        <v>9</v>
      </c>
      <c r="B14" s="6" t="s">
        <v>271</v>
      </c>
      <c r="C14" s="12" t="n">
        <v>3</v>
      </c>
      <c r="D14" s="12" t="n">
        <v>3</v>
      </c>
      <c r="E14" s="20" t="n">
        <f aca="false">D14^2</f>
        <v>9</v>
      </c>
      <c r="F14" s="20" t="n">
        <f aca="false">IFERROR(D14/(2*断面!$D$4)*SQRT(断面!$D$25/断面!$D$26),0)</f>
        <v>9297.03591773123</v>
      </c>
      <c r="G14" s="20" t="n">
        <v>1</v>
      </c>
      <c r="H14" s="20" t="n">
        <f aca="false">F14*G14</f>
        <v>9297.03591773123</v>
      </c>
      <c r="I14" s="23" t="n">
        <f aca="false">IF($I$3=1,H14,F14)</f>
        <v>9297.03591773123</v>
      </c>
      <c r="J14" s="20" t="n">
        <f aca="false">IFERROR(2*断面!$D$4/D14*1000,0)</f>
        <v>77.0133333333333</v>
      </c>
      <c r="K14" s="20" t="n">
        <f aca="false">IFERROR(J14/(MAX(断面!$D$3,断面!$D$19)*1000),0)</f>
        <v>1.82114423992753</v>
      </c>
      <c r="L14" s="21" t="str">
        <f aca="false">IF(K14&gt;=6,"🟢 良",IF(K14&gt;=3,"🟡 誤差±10%程度","🔴 参考値のみ"))</f>
        <v>🔴 参考値のみ</v>
      </c>
      <c r="M14" s="7" t="s">
        <v>272</v>
      </c>
      <c r="O14" s="20" t="n">
        <f aca="false">IF(I14&lt;=0,1000000000,I14)</f>
        <v>9297.03591773123</v>
      </c>
      <c r="P14" s="20" t="n">
        <f aca="false">$E$3</f>
        <v>0.0002</v>
      </c>
      <c r="Q14" s="12" t="n">
        <v>1</v>
      </c>
    </row>
    <row r="15" customFormat="false" ht="15" hidden="false" customHeight="false" outlineLevel="0" collapsed="false">
      <c r="A15" s="12" t="n">
        <v>10</v>
      </c>
      <c r="B15" s="6" t="s">
        <v>271</v>
      </c>
      <c r="C15" s="12" t="n">
        <v>4</v>
      </c>
      <c r="D15" s="12" t="n">
        <v>4</v>
      </c>
      <c r="E15" s="20" t="n">
        <f aca="false">D15^2</f>
        <v>16</v>
      </c>
      <c r="F15" s="20" t="n">
        <f aca="false">IFERROR(D15/(2*断面!$D$4)*SQRT(断面!$D$25/断面!$D$26),0)</f>
        <v>12396.0478903083</v>
      </c>
      <c r="G15" s="20" t="n">
        <v>1</v>
      </c>
      <c r="H15" s="20" t="n">
        <f aca="false">F15*G15</f>
        <v>12396.0478903083</v>
      </c>
      <c r="I15" s="23" t="n">
        <f aca="false">IF($I$3=1,H15,F15)</f>
        <v>12396.0478903083</v>
      </c>
      <c r="J15" s="20" t="n">
        <f aca="false">IFERROR(2*断面!$D$4/D15*1000,0)</f>
        <v>57.76</v>
      </c>
      <c r="K15" s="20" t="n">
        <f aca="false">IFERROR(J15/(MAX(断面!$D$3,断面!$D$19)*1000),0)</f>
        <v>1.36585817994565</v>
      </c>
      <c r="L15" s="21" t="str">
        <f aca="false">IF(K15&gt;=6,"🟢 良",IF(K15&gt;=3,"🟡 誤差±10%程度","🔴 参考値のみ"))</f>
        <v>🔴 参考値のみ</v>
      </c>
      <c r="M15" s="7" t="s">
        <v>272</v>
      </c>
      <c r="O15" s="20" t="n">
        <f aca="false">IF(I15&lt;=0,1000000000,I15)</f>
        <v>12396.0478903083</v>
      </c>
      <c r="P15" s="20" t="n">
        <f aca="false">$E$3</f>
        <v>0.0002</v>
      </c>
      <c r="Q15" s="12" t="n">
        <v>1</v>
      </c>
    </row>
    <row r="16" customFormat="false" ht="15" hidden="false" customHeight="false" outlineLevel="0" collapsed="false">
      <c r="A16" s="12" t="n">
        <v>11</v>
      </c>
      <c r="B16" s="6" t="s">
        <v>273</v>
      </c>
      <c r="C16" s="12" t="n">
        <v>1</v>
      </c>
      <c r="D16" s="20" t="n">
        <v>4.730041</v>
      </c>
      <c r="E16" s="20" t="n">
        <f aca="false">D16^2</f>
        <v>22.373287861681</v>
      </c>
      <c r="F16" s="20" t="n">
        <f aca="false">IFERROR(E16/(2*PI()*断面!$D$4^2)*SQRT(断面!$D$16/断面!$D$18),0)</f>
        <v>16645.9519774334</v>
      </c>
      <c r="G16" s="20" t="n">
        <f aca="false">IFERROR(1/SQRT(1+E16*($F$4/断面!$D$4)^2*$H$4),1)</f>
        <v>0.701970084430821</v>
      </c>
      <c r="H16" s="20" t="n">
        <f aca="false">F16*G16</f>
        <v>11684.9603150303</v>
      </c>
      <c r="I16" s="23" t="n">
        <f aca="false">IF($I$3=1,H16,F16)</f>
        <v>11684.9603150303</v>
      </c>
      <c r="J16" s="20" t="n">
        <f aca="false">IFERROR(2*PI()*断面!$D$4/D16*1000,0)</f>
        <v>153.451855213387</v>
      </c>
      <c r="K16" s="20" t="n">
        <f aca="false">IFERROR(J16/(断面!$D$3*1000),0)</f>
        <v>3.62869583918006</v>
      </c>
      <c r="L16" s="21" t="str">
        <f aca="false">IF(K16&gt;=6,"🟢 良",IF(K16&gt;=3,"🟡 誤差±10%程度","🔴 参考値のみ"))</f>
        <v>🟡 誤差±10%程度</v>
      </c>
      <c r="M16" s="7" t="s">
        <v>274</v>
      </c>
      <c r="O16" s="20" t="n">
        <f aca="false">IF(I16&lt;=0,1000000000,I16)</f>
        <v>11684.9603150303</v>
      </c>
      <c r="P16" s="20" t="n">
        <f aca="false">$E$3</f>
        <v>0.0002</v>
      </c>
      <c r="Q16" s="12" t="n">
        <v>1</v>
      </c>
    </row>
    <row r="17" customFormat="false" ht="15" hidden="false" customHeight="false" outlineLevel="0" collapsed="false">
      <c r="A17" s="12" t="n">
        <v>12</v>
      </c>
      <c r="B17" s="6" t="s">
        <v>273</v>
      </c>
      <c r="C17" s="12" t="n">
        <v>2</v>
      </c>
      <c r="D17" s="20" t="n">
        <v>7.853205</v>
      </c>
      <c r="E17" s="20" t="n">
        <f aca="false">D17^2</f>
        <v>61.672828772025</v>
      </c>
      <c r="F17" s="20" t="n">
        <f aca="false">IFERROR(E17/(2*PI()*断面!$D$4^2)*SQRT(断面!$D$16/断面!$D$18),0)</f>
        <v>45885.2070557711</v>
      </c>
      <c r="G17" s="20" t="n">
        <f aca="false">IFERROR(1/SQRT(1+E17*($F$4/断面!$D$4)^2*$H$4),1)</f>
        <v>0.510475360888725</v>
      </c>
      <c r="H17" s="20" t="n">
        <f aca="false">F17*G17</f>
        <v>23423.2676312486</v>
      </c>
      <c r="I17" s="23" t="n">
        <f aca="false">IF($I$3=1,H17,F17)</f>
        <v>23423.2676312486</v>
      </c>
      <c r="J17" s="20" t="n">
        <f aca="false">IFERROR(2*PI()*断面!$D$4/D17*1000,0)</f>
        <v>92.425139377539</v>
      </c>
      <c r="K17" s="20" t="n">
        <f aca="false">IFERROR(J17/(断面!$D$3*1000),0)</f>
        <v>2.18558920795409</v>
      </c>
      <c r="L17" s="21" t="str">
        <f aca="false">IF(K17&gt;=6,"🟢 良",IF(K17&gt;=3,"🟡 誤差±10%程度","🔴 参考値のみ"))</f>
        <v>🔴 参考値のみ</v>
      </c>
      <c r="M17" s="7" t="s">
        <v>274</v>
      </c>
      <c r="O17" s="20" t="n">
        <f aca="false">IF(I17&lt;=0,1000000000,I17)</f>
        <v>23423.2676312486</v>
      </c>
      <c r="P17" s="20" t="n">
        <f aca="false">$E$3</f>
        <v>0.0002</v>
      </c>
      <c r="Q17" s="12" t="n">
        <v>1</v>
      </c>
    </row>
    <row r="18" customFormat="false" ht="15" hidden="false" customHeight="false" outlineLevel="0" collapsed="false">
      <c r="A18" s="12" t="n">
        <v>13</v>
      </c>
      <c r="B18" s="6" t="s">
        <v>273</v>
      </c>
      <c r="C18" s="12" t="n">
        <v>3</v>
      </c>
      <c r="D18" s="20" t="n">
        <v>10.995608</v>
      </c>
      <c r="E18" s="20" t="n">
        <f aca="false">D18^2</f>
        <v>120.903395289664</v>
      </c>
      <c r="F18" s="20" t="n">
        <f aca="false">IFERROR(E18/(2*PI()*断面!$D$4^2)*SQRT(断面!$D$16/断面!$D$18),0)</f>
        <v>89953.3463450994</v>
      </c>
      <c r="G18" s="20" t="n">
        <f aca="false">IFERROR(1/SQRT(1+E18*($F$4/断面!$D$4)^2*$H$4),1)</f>
        <v>0.390354987144404</v>
      </c>
      <c r="H18" s="20" t="n">
        <f aca="false">F18*G18</f>
        <v>35113.7373561374</v>
      </c>
      <c r="I18" s="23" t="n">
        <f aca="false">IF($I$3=1,H18,F18)</f>
        <v>35113.7373561374</v>
      </c>
      <c r="J18" s="20" t="n">
        <f aca="false">IFERROR(2*PI()*断面!$D$4/D18*1000,0)</f>
        <v>66.0112261809793</v>
      </c>
      <c r="K18" s="20" t="n">
        <f aca="false">IFERROR(J18/(断面!$D$3*1000),0)</f>
        <v>1.56097599112765</v>
      </c>
      <c r="L18" s="21" t="str">
        <f aca="false">IF(K18&gt;=6,"🟢 良",IF(K18&gt;=3,"🟡 誤差±10%程度","🔴 参考値のみ"))</f>
        <v>🔴 参考値のみ</v>
      </c>
      <c r="M18" s="7" t="s">
        <v>274</v>
      </c>
      <c r="O18" s="20" t="n">
        <f aca="false">IF(I18&lt;=0,1000000000,I18)</f>
        <v>35113.7373561374</v>
      </c>
      <c r="P18" s="20" t="n">
        <f aca="false">$E$3</f>
        <v>0.0002</v>
      </c>
      <c r="Q18" s="12" t="n">
        <v>1</v>
      </c>
    </row>
    <row r="19" customFormat="false" ht="15" hidden="false" customHeight="false" outlineLevel="0" collapsed="false">
      <c r="A19" s="12" t="n">
        <v>14</v>
      </c>
      <c r="B19" s="6" t="s">
        <v>273</v>
      </c>
      <c r="C19" s="12" t="n">
        <v>4</v>
      </c>
      <c r="D19" s="20" t="n">
        <v>14.137165</v>
      </c>
      <c r="E19" s="20" t="n">
        <f aca="false">D19^2</f>
        <v>199.859434237225</v>
      </c>
      <c r="F19" s="20" t="n">
        <f aca="false">IFERROR(E19/(2*PI()*断面!$D$4^2)*SQRT(断面!$D$16/断面!$D$18),0)</f>
        <v>148697.436206853</v>
      </c>
      <c r="G19" s="20" t="n">
        <f aca="false">IFERROR(1/SQRT(1+E19*($F$4/断面!$D$4)^2*$H$4),1)</f>
        <v>0.313183166428699</v>
      </c>
      <c r="H19" s="20" t="n">
        <f aca="false">F19*G19</f>
        <v>46569.5339110916</v>
      </c>
      <c r="I19" s="23" t="n">
        <f aca="false">IF($I$3=1,H19,F19)</f>
        <v>46569.5339110916</v>
      </c>
      <c r="J19" s="20" t="n">
        <f aca="false">IFERROR(2*PI()*断面!$D$4/D19*1000,0)</f>
        <v>51.3422292719499</v>
      </c>
      <c r="K19" s="20" t="n">
        <f aca="false">IFERROR(J19/(断面!$D$3*1000),0)</f>
        <v>1.21409632665751</v>
      </c>
      <c r="L19" s="21" t="str">
        <f aca="false">IF(K19&gt;=6,"🟢 良",IF(K19&gt;=3,"🟡 誤差±10%程度","🔴 参考値のみ"))</f>
        <v>🔴 参考値のみ</v>
      </c>
      <c r="M19" s="7" t="s">
        <v>274</v>
      </c>
      <c r="O19" s="20" t="n">
        <f aca="false">IF(I19&lt;=0,1000000000,I19)</f>
        <v>46569.5339110916</v>
      </c>
      <c r="P19" s="20" t="n">
        <f aca="false">$E$3</f>
        <v>0.0002</v>
      </c>
      <c r="Q19" s="12" t="n">
        <v>1</v>
      </c>
    </row>
    <row r="20" customFormat="false" ht="15" hidden="false" customHeight="false" outlineLevel="0" collapsed="false">
      <c r="A20" s="12" t="n">
        <v>15</v>
      </c>
      <c r="B20" s="6" t="s">
        <v>275</v>
      </c>
      <c r="C20" s="12" t="n">
        <v>1</v>
      </c>
      <c r="D20" s="12" t="n">
        <v>1</v>
      </c>
      <c r="E20" s="20" t="n">
        <f aca="false">D20^2</f>
        <v>1</v>
      </c>
      <c r="F20" s="20" t="n">
        <f aca="false">IFERROR(D20/(2*断面!$D$4)*SQRT(断面!$D$17/断面!$D$18),0)</f>
        <v>22118.4620564054</v>
      </c>
      <c r="G20" s="20" t="n">
        <v>1</v>
      </c>
      <c r="H20" s="20" t="n">
        <f aca="false">F20*G20</f>
        <v>22118.4620564054</v>
      </c>
      <c r="I20" s="23" t="n">
        <f aca="false">IF($I$3=1,H20,F20)</f>
        <v>22118.4620564054</v>
      </c>
      <c r="J20" s="20" t="n">
        <f aca="false">IFERROR(2*断面!$D$4/D20*1000,0)</f>
        <v>231.04</v>
      </c>
      <c r="K20" s="20" t="n">
        <f aca="false">IFERROR(J20/(MAX(断面!$D$3,断面!$D$19)*1000),0)</f>
        <v>5.46343271978258</v>
      </c>
      <c r="L20" s="21" t="str">
        <f aca="false">IF(K20&gt;=6,"🟢 良",IF(K20&gt;=3,"🟡 誤差±10%程度","🔴 参考値のみ"))</f>
        <v>🟡 誤差±10%程度</v>
      </c>
      <c r="M20" s="7" t="s">
        <v>276</v>
      </c>
      <c r="O20" s="20" t="n">
        <f aca="false">IF(I20&lt;=0,1000000000,I20)</f>
        <v>22118.4620564054</v>
      </c>
      <c r="P20" s="20" t="n">
        <f aca="false">$E$3</f>
        <v>0.0002</v>
      </c>
      <c r="Q20" s="12" t="n">
        <v>1</v>
      </c>
    </row>
    <row r="21" customFormat="false" ht="15" hidden="false" customHeight="false" outlineLevel="0" collapsed="false">
      <c r="A21" s="12" t="n">
        <v>16</v>
      </c>
      <c r="B21" s="6" t="s">
        <v>275</v>
      </c>
      <c r="C21" s="12" t="n">
        <v>2</v>
      </c>
      <c r="D21" s="12" t="n">
        <v>2</v>
      </c>
      <c r="E21" s="20" t="n">
        <f aca="false">D21^2</f>
        <v>4</v>
      </c>
      <c r="F21" s="20" t="n">
        <f aca="false">IFERROR(D21/(2*断面!$D$4)*SQRT(断面!$D$17/断面!$D$18),0)</f>
        <v>44236.9241128108</v>
      </c>
      <c r="G21" s="20" t="n">
        <v>1</v>
      </c>
      <c r="H21" s="20" t="n">
        <f aca="false">F21*G21</f>
        <v>44236.9241128108</v>
      </c>
      <c r="I21" s="23" t="n">
        <f aca="false">IF($I$3=1,H21,F21)</f>
        <v>44236.9241128108</v>
      </c>
      <c r="J21" s="20" t="n">
        <f aca="false">IFERROR(2*断面!$D$4/D21*1000,0)</f>
        <v>115.52</v>
      </c>
      <c r="K21" s="20" t="n">
        <f aca="false">IFERROR(J21/(MAX(断面!$D$3,断面!$D$19)*1000),0)</f>
        <v>2.73171635989129</v>
      </c>
      <c r="L21" s="21" t="str">
        <f aca="false">IF(K21&gt;=6,"🟢 良",IF(K21&gt;=3,"🟡 誤差±10%程度","🔴 参考値のみ"))</f>
        <v>🔴 参考値のみ</v>
      </c>
      <c r="M21" s="7" t="s">
        <v>276</v>
      </c>
      <c r="O21" s="20" t="n">
        <f aca="false">IF(I21&lt;=0,1000000000,I21)</f>
        <v>44236.9241128108</v>
      </c>
      <c r="P21" s="20" t="n">
        <f aca="false">$E$3</f>
        <v>0.0002</v>
      </c>
      <c r="Q21" s="12" t="n">
        <v>1</v>
      </c>
    </row>
    <row r="22" customFormat="false" ht="15" hidden="false" customHeight="false" outlineLevel="0" collapsed="false">
      <c r="A22" s="12" t="n">
        <v>17</v>
      </c>
      <c r="B22" s="6" t="s">
        <v>275</v>
      </c>
      <c r="C22" s="12" t="n">
        <v>3</v>
      </c>
      <c r="D22" s="12" t="n">
        <v>3</v>
      </c>
      <c r="E22" s="20" t="n">
        <f aca="false">D22^2</f>
        <v>9</v>
      </c>
      <c r="F22" s="20" t="n">
        <f aca="false">IFERROR(D22/(2*断面!$D$4)*SQRT(断面!$D$17/断面!$D$18),0)</f>
        <v>66355.3861692162</v>
      </c>
      <c r="G22" s="20" t="n">
        <v>1</v>
      </c>
      <c r="H22" s="20" t="n">
        <f aca="false">F22*G22</f>
        <v>66355.3861692162</v>
      </c>
      <c r="I22" s="23" t="n">
        <f aca="false">IF($I$3=1,H22,F22)</f>
        <v>66355.3861692162</v>
      </c>
      <c r="J22" s="20" t="n">
        <f aca="false">IFERROR(2*断面!$D$4/D22*1000,0)</f>
        <v>77.0133333333333</v>
      </c>
      <c r="K22" s="20" t="n">
        <f aca="false">IFERROR(J22/(MAX(断面!$D$3,断面!$D$19)*1000),0)</f>
        <v>1.82114423992753</v>
      </c>
      <c r="L22" s="21" t="str">
        <f aca="false">IF(K22&gt;=6,"🟢 良",IF(K22&gt;=3,"🟡 誤差±10%程度","🔴 参考値のみ"))</f>
        <v>🔴 参考値のみ</v>
      </c>
      <c r="M22" s="7" t="s">
        <v>276</v>
      </c>
      <c r="O22" s="20" t="n">
        <f aca="false">IF(I22&lt;=0,1000000000,I22)</f>
        <v>66355.3861692162</v>
      </c>
      <c r="P22" s="20" t="n">
        <f aca="false">$E$3</f>
        <v>0.0002</v>
      </c>
      <c r="Q22" s="12" t="n">
        <v>1</v>
      </c>
    </row>
    <row r="24" customFormat="false" ht="15" hidden="false" customHeight="false" outlineLevel="0" collapsed="false">
      <c r="A24" s="28" t="s">
        <v>277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customFormat="false" ht="15" hidden="false" customHeight="false" outlineLevel="0" collapsed="false">
      <c r="A25" s="5" t="s">
        <v>278</v>
      </c>
      <c r="C25" s="31" t="s">
        <v>279</v>
      </c>
      <c r="D25" s="31"/>
      <c r="E25" s="31"/>
      <c r="F25" s="31"/>
      <c r="G25" s="2" t="s">
        <v>280</v>
      </c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5" t="s">
        <v>281</v>
      </c>
      <c r="C26" s="31" t="s">
        <v>282</v>
      </c>
      <c r="D26" s="31"/>
      <c r="E26" s="31"/>
      <c r="F26" s="31"/>
      <c r="G26" s="2" t="s">
        <v>283</v>
      </c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5" t="s">
        <v>284</v>
      </c>
      <c r="C27" s="31" t="s">
        <v>285</v>
      </c>
      <c r="D27" s="31"/>
      <c r="E27" s="31"/>
      <c r="F27" s="31"/>
      <c r="G27" s="2" t="s">
        <v>286</v>
      </c>
      <c r="H27" s="2"/>
      <c r="I27" s="2"/>
      <c r="J27" s="2"/>
      <c r="K27" s="2"/>
      <c r="L27" s="2"/>
      <c r="M27" s="2"/>
    </row>
    <row r="28" customFormat="false" ht="15" hidden="false" customHeight="false" outlineLevel="0" collapsed="false">
      <c r="A28" s="5" t="s">
        <v>271</v>
      </c>
      <c r="C28" s="31" t="s">
        <v>287</v>
      </c>
      <c r="D28" s="31"/>
      <c r="E28" s="31"/>
      <c r="F28" s="31"/>
      <c r="G28" s="2" t="s">
        <v>288</v>
      </c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5" t="s">
        <v>275</v>
      </c>
      <c r="C29" s="31" t="s">
        <v>289</v>
      </c>
      <c r="D29" s="31"/>
      <c r="E29" s="31"/>
      <c r="F29" s="31"/>
      <c r="G29" s="2" t="s">
        <v>290</v>
      </c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5" t="s">
        <v>291</v>
      </c>
      <c r="C30" s="31" t="s">
        <v>292</v>
      </c>
      <c r="D30" s="31"/>
      <c r="E30" s="31"/>
      <c r="F30" s="31"/>
      <c r="G30" s="2" t="s">
        <v>293</v>
      </c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5" t="s">
        <v>294</v>
      </c>
      <c r="C31" s="31" t="s">
        <v>295</v>
      </c>
      <c r="D31" s="31"/>
      <c r="E31" s="31"/>
      <c r="F31" s="31"/>
      <c r="G31" s="2" t="s">
        <v>296</v>
      </c>
      <c r="H31" s="2"/>
      <c r="I31" s="2"/>
      <c r="J31" s="2"/>
      <c r="K31" s="2"/>
      <c r="L31" s="2"/>
      <c r="M31" s="2"/>
    </row>
    <row r="33" customFormat="false" ht="17.15" hidden="false" customHeight="false" outlineLevel="0" collapsed="false">
      <c r="A33" s="28" t="s">
        <v>297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customFormat="false" ht="15" hidden="false" customHeight="false" outlineLevel="0" collapsed="false">
      <c r="A34" s="29" t="s">
        <v>298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customFormat="false" ht="15" hidden="false" customHeight="false" outlineLevel="0" collapsed="false">
      <c r="A35" s="29" t="s">
        <v>299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customFormat="false" ht="15" hidden="false" customHeight="false" outlineLevel="0" collapsed="false">
      <c r="A36" s="29" t="s">
        <v>300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customFormat="false" ht="15" hidden="false" customHeight="false" outlineLevel="0" collapsed="false">
      <c r="A37" s="29" t="s">
        <v>301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</sheetData>
  <mergeCells count="22">
    <mergeCell ref="A1:M1"/>
    <mergeCell ref="A2:M2"/>
    <mergeCell ref="A24:M24"/>
    <mergeCell ref="C25:F25"/>
    <mergeCell ref="G25:M25"/>
    <mergeCell ref="C26:F26"/>
    <mergeCell ref="G26:M26"/>
    <mergeCell ref="C27:F27"/>
    <mergeCell ref="G27:M27"/>
    <mergeCell ref="C28:F28"/>
    <mergeCell ref="G28:M28"/>
    <mergeCell ref="C29:F29"/>
    <mergeCell ref="G29:M29"/>
    <mergeCell ref="C30:F30"/>
    <mergeCell ref="G30:M30"/>
    <mergeCell ref="C31:F31"/>
    <mergeCell ref="G31:M31"/>
    <mergeCell ref="A33:M33"/>
    <mergeCell ref="A34:M34"/>
    <mergeCell ref="A35:M35"/>
    <mergeCell ref="A36:M36"/>
    <mergeCell ref="A37:M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1"/>
    <col collapsed="false" customWidth="true" hidden="false" outlineLevel="0" max="6" min="6" style="0" width="3"/>
    <col collapsed="false" customWidth="true" hidden="false" outlineLevel="0" max="7" min="7" style="0" width="50"/>
  </cols>
  <sheetData>
    <row r="1" customFormat="false" ht="23.85" hidden="false" customHeight="false" outlineLevel="0" collapsed="false">
      <c r="A1" s="1" t="s">
        <v>302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303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6" t="s">
        <v>304</v>
      </c>
      <c r="C3" s="16" t="n">
        <v>0</v>
      </c>
      <c r="D3" s="6" t="s">
        <v>305</v>
      </c>
      <c r="F3" s="16" t="n">
        <v>40</v>
      </c>
      <c r="G3" s="6" t="s">
        <v>306</v>
      </c>
      <c r="H3" s="16" t="n">
        <v>1001</v>
      </c>
      <c r="I3" s="6" t="s">
        <v>307</v>
      </c>
      <c r="K3" s="16" t="n">
        <v>1</v>
      </c>
      <c r="L3" s="2" t="s">
        <v>308</v>
      </c>
      <c r="M3" s="2"/>
      <c r="N3" s="2"/>
      <c r="O3" s="2"/>
      <c r="P3" s="2"/>
      <c r="Q3" s="2"/>
      <c r="R3" s="2"/>
    </row>
    <row r="5" customFormat="false" ht="15" hidden="false" customHeight="false" outlineLevel="0" collapsed="false">
      <c r="A5" s="10" t="s">
        <v>309</v>
      </c>
      <c r="B5" s="10" t="s">
        <v>310</v>
      </c>
      <c r="C5" s="10" t="s">
        <v>311</v>
      </c>
      <c r="D5" s="10" t="s">
        <v>312</v>
      </c>
      <c r="E5" s="10" t="s">
        <v>313</v>
      </c>
    </row>
    <row r="6" customFormat="false" ht="15" hidden="false" customHeight="false" outlineLevel="0" collapsed="false">
      <c r="A6" s="13" t="n">
        <f aca="false">$C$3</f>
        <v>0</v>
      </c>
      <c r="B6" s="20" t="n">
        <f aca="false">SUMPRODUCT(固有振動数!$Q$6:$Q$22*(1-($A6/固有振動数!$O$6:$O$22)^2)/((1-($A6/固有振動数!$O$6:$O$22)^2)^2+固有振動数!$P$6:$P$22^2))</f>
        <v>16.99999932</v>
      </c>
      <c r="C6" s="20" t="n">
        <f aca="false">-SUMPRODUCT(固有振動数!$Q$6:$Q$22*固有振動数!$P$6:$P$22/((1-($A6/固有振動数!$O$6:$O$22)^2)^2+固有振動数!$P$6:$P$22^2))</f>
        <v>-0.00339999986400001</v>
      </c>
      <c r="D6" s="20" t="n">
        <f aca="false">SQRT(B6^2+C6^2)</f>
        <v>16.99999966</v>
      </c>
      <c r="E6" s="32" t="n">
        <f aca="false">20*LOG10(MAX(D6,0.000000000001)/$K$3)</f>
        <v>24.6089782538477</v>
      </c>
    </row>
    <row r="7" customFormat="false" ht="15" hidden="false" customHeight="false" outlineLevel="0" collapsed="false">
      <c r="A7" s="13" t="n">
        <f aca="false">A6+$F$3</f>
        <v>40</v>
      </c>
      <c r="B7" s="20" t="n">
        <f aca="false">SUMPRODUCT(固有振動数!$Q$6:$Q$22*(1-($A7/固有振動数!$O$6:$O$22)^2)/((1-($A7/固有振動数!$O$6:$O$22)^2)^2+固有振動数!$P$6:$P$22^2))</f>
        <v>17.0007586957099</v>
      </c>
      <c r="C7" s="20" t="n">
        <f aca="false">-SUMPRODUCT(固有振動数!$Q$6:$Q$22*固有振動数!$P$6:$P$22/((1-($A7/固有振動数!$O$6:$O$22)^2)^2+固有振動数!$P$6:$P$22^2))</f>
        <v>-0.00340030365615344</v>
      </c>
      <c r="D7" s="20" t="n">
        <f aca="false">SQRT(B7^2+C7^2)</f>
        <v>17.0007590357554</v>
      </c>
      <c r="E7" s="32" t="n">
        <f aca="false">20*LOG10(MAX(D7,0.000000000001)/$K$3)</f>
        <v>24.6093662366022</v>
      </c>
    </row>
    <row r="8" customFormat="false" ht="15" hidden="false" customHeight="false" outlineLevel="0" collapsed="false">
      <c r="A8" s="13" t="n">
        <f aca="false">A7+$F$3</f>
        <v>80</v>
      </c>
      <c r="B8" s="20" t="n">
        <f aca="false">SUMPRODUCT(固有振動数!$Q$6:$Q$22*(1-($A8/固有振動数!$O$6:$O$22)^2)/((1-($A8/固有振動数!$O$6:$O$22)^2)^2+固有振動数!$P$6:$P$22^2))</f>
        <v>17.0030393371106</v>
      </c>
      <c r="C8" s="20" t="n">
        <f aca="false">-SUMPRODUCT(固有振動数!$Q$6:$Q$22*固有振動数!$P$6:$P$22/((1-($A8/固有振動数!$O$6:$O$22)^2)^2+固有振動数!$P$6:$P$22^2))</f>
        <v>-0.00340121654212116</v>
      </c>
      <c r="D8" s="20" t="n">
        <f aca="false">SQRT(B8^2+C8^2)</f>
        <v>17.0030396772931</v>
      </c>
      <c r="E8" s="32" t="n">
        <f aca="false">20*LOG10(MAX(D8,0.000000000001)/$K$3)</f>
        <v>24.6105313652925</v>
      </c>
    </row>
    <row r="9" customFormat="false" ht="15" hidden="false" customHeight="false" outlineLevel="0" collapsed="false">
      <c r="A9" s="13" t="n">
        <f aca="false">A8+$F$3</f>
        <v>120</v>
      </c>
      <c r="B9" s="20" t="n">
        <f aca="false">SUMPRODUCT(固有振動数!$Q$6:$Q$22*(1-($A9/固有振動数!$O$6:$O$22)^2)/((1-($A9/固有振動数!$O$6:$O$22)^2)^2+固有振動数!$P$6:$P$22^2))</f>
        <v>17.0068488154167</v>
      </c>
      <c r="C9" s="20" t="n">
        <f aca="false">-SUMPRODUCT(固有振動数!$Q$6:$Q$22*固有振動数!$P$6:$P$22/((1-($A9/固有振動数!$O$6:$O$22)^2)^2+固有振動数!$P$6:$P$22^2))</f>
        <v>-0.00340274307317853</v>
      </c>
      <c r="D9" s="20" t="n">
        <f aca="false">SQRT(B9^2+C9^2)</f>
        <v>17.0068491558284</v>
      </c>
      <c r="E9" s="32" t="n">
        <f aca="false">20*LOG10(MAX(D9,0.000000000001)/$K$3)</f>
        <v>24.612477194074</v>
      </c>
    </row>
    <row r="10" customFormat="false" ht="15" hidden="false" customHeight="false" outlineLevel="0" collapsed="false">
      <c r="A10" s="13" t="n">
        <f aca="false">A9+$F$3</f>
        <v>160</v>
      </c>
      <c r="B10" s="20" t="n">
        <f aca="false">SUMPRODUCT(固有振動数!$Q$6:$Q$22*(1-($A10/固有振動数!$O$6:$O$22)^2)/((1-($A10/固有振動数!$O$6:$O$22)^2)^2+固有振動数!$P$6:$P$22^2))</f>
        <v>17.0121998446356</v>
      </c>
      <c r="C10" s="20" t="n">
        <f aca="false">-SUMPRODUCT(固有振動数!$Q$6:$Q$22*固有振動数!$P$6:$P$22/((1-($A10/固有振動数!$O$6:$O$22)^2)^2+固有振動数!$P$6:$P$22^2))</f>
        <v>-0.00340489091127526</v>
      </c>
      <c r="D10" s="20" t="n">
        <f aca="false">SQRT(B10^2+C10^2)</f>
        <v>17.0122001853699</v>
      </c>
      <c r="E10" s="32" t="n">
        <f aca="false">20*LOG10(MAX(D10,0.000000000001)/$K$3)</f>
        <v>24.6152096897393</v>
      </c>
    </row>
    <row r="11" customFormat="false" ht="15" hidden="false" customHeight="false" outlineLevel="0" collapsed="false">
      <c r="A11" s="13" t="n">
        <f aca="false">A10+$F$3</f>
        <v>200</v>
      </c>
      <c r="B11" s="20" t="n">
        <f aca="false">SUMPRODUCT(固有振動数!$Q$6:$Q$22*(1-($A11/固有振動数!$O$6:$O$22)^2)/((1-($A11/固有振動数!$O$6:$O$22)^2)^2+固有振動数!$P$6:$P$22^2))</f>
        <v>17.0191104268234</v>
      </c>
      <c r="C11" s="20" t="n">
        <f aca="false">-SUMPRODUCT(固有振動数!$Q$6:$Q$22*固有振動数!$P$6:$P$22/((1-($A11/固有振動数!$O$6:$O$22)^2)^2+固有振動数!$P$6:$P$22^2))</f>
        <v>-0.00340767094606404</v>
      </c>
      <c r="D11" s="20" t="n">
        <f aca="false">SQRT(B11^2+C11^2)</f>
        <v>17.0191107679758</v>
      </c>
      <c r="E11" s="32" t="n">
        <f aca="false">20*LOG10(MAX(D11,0.000000000001)/$K$3)</f>
        <v>24.6187372975212</v>
      </c>
    </row>
    <row r="12" customFormat="false" ht="15" hidden="false" customHeight="false" outlineLevel="0" collapsed="false">
      <c r="A12" s="13" t="n">
        <f aca="false">A11+$F$3</f>
        <v>240</v>
      </c>
      <c r="B12" s="20" t="n">
        <f aca="false">SUMPRODUCT(固有振動数!$Q$6:$Q$22*(1-($A12/固有振動数!$O$6:$O$22)^2)/((1-($A12/固有振動数!$O$6:$O$22)^2)^2+固有振動数!$P$6:$P$22^2))</f>
        <v>17.0276040600969</v>
      </c>
      <c r="C12" s="20" t="n">
        <f aca="false">-SUMPRODUCT(固有振動数!$Q$6:$Q$22*固有振動数!$P$6:$P$22/((1-($A12/固有振動数!$O$6:$O$22)^2)^2+固有振動数!$P$6:$P$22^2))</f>
        <v>-0.00341109746343304</v>
      </c>
      <c r="D12" s="20" t="n">
        <f aca="false">SQRT(B12^2+C12^2)</f>
        <v>17.0276044017652</v>
      </c>
      <c r="E12" s="32" t="n">
        <f aca="false">20*LOG10(MAX(D12,0.000000000001)/$K$3)</f>
        <v>24.6230710352627</v>
      </c>
    </row>
    <row r="13" customFormat="false" ht="15" hidden="false" customHeight="false" outlineLevel="0" collapsed="false">
      <c r="A13" s="13" t="n">
        <f aca="false">A12+$F$3</f>
        <v>280</v>
      </c>
      <c r="B13" s="20" t="n">
        <f aca="false">SUMPRODUCT(固有振動数!$Q$6:$Q$22*(1-($A13/固有振動数!$O$6:$O$22)^2)/((1-($A13/固有振動数!$O$6:$O$22)^2)^2+固有振動数!$P$6:$P$22^2))</f>
        <v>17.0377100142647</v>
      </c>
      <c r="C13" s="20" t="n">
        <f aca="false">-SUMPRODUCT(固有振動数!$Q$6:$Q$22*固有振動数!$P$6:$P$22/((1-($A13/固有振動数!$O$6:$O$22)^2)^2+固有振動数!$P$6:$P$22^2))</f>
        <v>-0.00341518837049089</v>
      </c>
      <c r="D13" s="20" t="n">
        <f aca="false">SQRT(B13^2+C13^2)</f>
        <v>17.0377103565499</v>
      </c>
      <c r="E13" s="32" t="n">
        <f aca="false">20*LOG10(MAX(D13,0.000000000001)/$K$3)</f>
        <v>24.628224618087</v>
      </c>
    </row>
    <row r="14" customFormat="false" ht="15" hidden="false" customHeight="false" outlineLevel="0" collapsed="false">
      <c r="A14" s="13" t="n">
        <f aca="false">A13+$F$3</f>
        <v>320</v>
      </c>
      <c r="B14" s="20" t="n">
        <f aca="false">SUMPRODUCT(固有振動数!$Q$6:$Q$22*(1-($A14/固有振動数!$O$6:$O$22)^2)/((1-($A14/固有振動数!$O$6:$O$22)^2)^2+固有振動数!$P$6:$P$22^2))</f>
        <v>17.0494636806476</v>
      </c>
      <c r="C14" s="20" t="n">
        <f aca="false">-SUMPRODUCT(固有振動数!$Q$6:$Q$22*固有振動数!$P$6:$P$22/((1-($A14/固有振動数!$O$6:$O$22)^2)^2+固有振動数!$P$6:$P$22^2))</f>
        <v>-0.00341996548375269</v>
      </c>
      <c r="D14" s="20" t="n">
        <f aca="false">SQRT(B14^2+C14^2)</f>
        <v>17.0494640236544</v>
      </c>
      <c r="E14" s="32" t="n">
        <f aca="false">20*LOG10(MAX(D14,0.000000000001)/$K$3)</f>
        <v>24.6342146164494</v>
      </c>
    </row>
    <row r="15" customFormat="false" ht="15" hidden="false" customHeight="false" outlineLevel="0" collapsed="false">
      <c r="A15" s="13" t="n">
        <f aca="false">A14+$F$3</f>
        <v>360</v>
      </c>
      <c r="B15" s="20" t="n">
        <f aca="false">SUMPRODUCT(固有振動数!$Q$6:$Q$22*(1-($A15/固有振動数!$O$6:$O$22)^2)/((1-($A15/固有振動数!$O$6:$O$22)^2)^2+固有振動数!$P$6:$P$22^2))</f>
        <v>17.0629070046256</v>
      </c>
      <c r="C15" s="20" t="n">
        <f aca="false">-SUMPRODUCT(固有振動数!$Q$6:$Q$22*固有振動数!$P$6:$P$22/((1-($A15/固有振動数!$O$6:$O$22)^2)^2+固有振動数!$P$6:$P$22^2))</f>
        <v>-0.00342545488939942</v>
      </c>
      <c r="D15" s="20" t="n">
        <f aca="false">SQRT(B15^2+C15^2)</f>
        <v>17.0629073484633</v>
      </c>
      <c r="E15" s="32" t="n">
        <f aca="false">20*LOG10(MAX(D15,0.000000000001)/$K$3)</f>
        <v>24.6410606513047</v>
      </c>
    </row>
    <row r="16" customFormat="false" ht="15" hidden="false" customHeight="false" outlineLevel="0" collapsed="false">
      <c r="A16" s="13" t="n">
        <f aca="false">A15+$F$3</f>
        <v>400</v>
      </c>
      <c r="B16" s="20" t="n">
        <f aca="false">SUMPRODUCT(固有振動数!$Q$6:$Q$22*(1-($A16/固有振動数!$O$6:$O$22)^2)/((1-($A16/固有振動数!$O$6:$O$22)^2)^2+固有振動数!$P$6:$P$22^2))</f>
        <v>17.0780890117641</v>
      </c>
      <c r="C16" s="20" t="n">
        <f aca="false">-SUMPRODUCT(固有振動数!$Q$6:$Q$22*固有振動数!$P$6:$P$22/((1-($A16/固有振動数!$O$6:$O$22)^2)^2+固有振動数!$P$6:$P$22^2))</f>
        <v>-0.00343168738704641</v>
      </c>
      <c r="D16" s="20" t="n">
        <f aca="false">SQRT(B16^2+C16^2)</f>
        <v>17.0780893565474</v>
      </c>
      <c r="E16" s="32" t="n">
        <f aca="false">20*LOG10(MAX(D16,0.000000000001)/$K$3)</f>
        <v>24.6487856311308</v>
      </c>
    </row>
    <row r="17" customFormat="false" ht="15" hidden="false" customHeight="false" outlineLevel="0" collapsed="false">
      <c r="A17" s="13" t="n">
        <f aca="false">A16+$F$3</f>
        <v>440</v>
      </c>
      <c r="B17" s="20" t="n">
        <f aca="false">SUMPRODUCT(固有振動数!$Q$6:$Q$22*(1-($A17/固有振動数!$O$6:$O$22)^2)/((1-($A17/固有振動数!$O$6:$O$22)^2)^2+固有振動数!$P$6:$P$22^2))</f>
        <v>17.0950664411473</v>
      </c>
      <c r="C17" s="20" t="n">
        <f aca="false">-SUMPRODUCT(固有振動数!$Q$6:$Q$22*固有振動数!$P$6:$P$22/((1-($A17/固有振動数!$O$6:$O$22)^2)^2+固有振動数!$P$6:$P$22^2))</f>
        <v>-0.00343869903160664</v>
      </c>
      <c r="D17" s="20" t="n">
        <f aca="false">SQRT(B17^2+C17^2)</f>
        <v>17.0950667869971</v>
      </c>
      <c r="E17" s="32" t="n">
        <f aca="false">20*LOG10(MAX(D17,0.000000000001)/$K$3)</f>
        <v>24.6574160367472</v>
      </c>
    </row>
    <row r="18" customFormat="false" ht="15" hidden="false" customHeight="false" outlineLevel="0" collapsed="false">
      <c r="A18" s="13" t="n">
        <f aca="false">A17+$F$3</f>
        <v>480</v>
      </c>
      <c r="B18" s="20" t="n">
        <f aca="false">SUMPRODUCT(固有振動数!$Q$6:$Q$22*(1-($A18/固有振動数!$O$6:$O$22)^2)/((1-($A18/固有振動数!$O$6:$O$22)^2)^2+固有振動数!$P$6:$P$22^2))</f>
        <v>17.1139045029199</v>
      </c>
      <c r="C18" s="20" t="n">
        <f aca="false">-SUMPRODUCT(固有振動数!$Q$6:$Q$22*固有振動数!$P$6:$P$22/((1-($A18/固有振動数!$O$6:$O$22)^2)^2+固有振動数!$P$6:$P$22^2))</f>
        <v>-0.00344653179176197</v>
      </c>
      <c r="D18" s="20" t="n">
        <f aca="false">SQRT(B18^2+C18^2)</f>
        <v>17.1139048499646</v>
      </c>
      <c r="E18" s="32" t="n">
        <f aca="false">20*LOG10(MAX(D18,0.000000000001)/$K$3)</f>
        <v>24.6669822613158</v>
      </c>
    </row>
    <row r="19" customFormat="false" ht="15" hidden="false" customHeight="false" outlineLevel="0" collapsed="false">
      <c r="A19" s="13" t="n">
        <f aca="false">A18+$F$3</f>
        <v>520</v>
      </c>
      <c r="B19" s="20" t="n">
        <f aca="false">SUMPRODUCT(固有振動数!$Q$6:$Q$22*(1-($A19/固有振動数!$O$6:$O$22)^2)/((1-($A19/固有振動数!$O$6:$O$22)^2)^2+固有振動数!$P$6:$P$22^2))</f>
        <v>17.1346777811852</v>
      </c>
      <c r="C19" s="20" t="n">
        <f aca="false">-SUMPRODUCT(固有振動数!$Q$6:$Q$22*固有振動数!$P$6:$P$22/((1-($A19/固有振動数!$O$6:$O$22)^2)^2+固有振動数!$P$6:$P$22^2))</f>
        <v>-0.00345523434851271</v>
      </c>
      <c r="D19" s="20" t="n">
        <f aca="false">SQRT(B19^2+C19^2)</f>
        <v>17.1346781295619</v>
      </c>
      <c r="E19" s="32" t="n">
        <f aca="false">20*LOG10(MAX(D19,0.000000000001)/$K$3)</f>
        <v>24.6775190146897</v>
      </c>
    </row>
    <row r="20" customFormat="false" ht="15" hidden="false" customHeight="false" outlineLevel="0" collapsed="false">
      <c r="A20" s="13" t="n">
        <f aca="false">A19+$F$3</f>
        <v>560</v>
      </c>
      <c r="B20" s="20" t="n">
        <f aca="false">SUMPRODUCT(固有振動数!$Q$6:$Q$22*(1-($A20/固有振動数!$O$6:$O$22)^2)/((1-($A20/固有振動数!$O$6:$O$22)^2)^2+固有振動数!$P$6:$P$22^2))</f>
        <v>17.1574713085662</v>
      </c>
      <c r="C20" s="20" t="n">
        <f aca="false">-SUMPRODUCT(固有振動数!$Q$6:$Q$22*固有振動数!$P$6:$P$22/((1-($A20/固有振動数!$O$6:$O$22)^2)^2+固有振動数!$P$6:$P$22^2))</f>
        <v>-0.00346486306360092</v>
      </c>
      <c r="D20" s="20" t="n">
        <f aca="false">SQRT(B20^2+C20^2)</f>
        <v>17.1574716584218</v>
      </c>
      <c r="E20" s="32" t="n">
        <f aca="false">20*LOG10(MAX(D20,0.000000000001)/$K$3)</f>
        <v>24.6890658034749</v>
      </c>
    </row>
    <row r="21" customFormat="false" ht="15" hidden="false" customHeight="false" outlineLevel="0" collapsed="false">
      <c r="A21" s="13" t="n">
        <f aca="false">A20+$F$3</f>
        <v>600</v>
      </c>
      <c r="B21" s="20" t="n">
        <f aca="false">SUMPRODUCT(固有振動数!$Q$6:$Q$22*(1-($A21/固有振動数!$O$6:$O$22)^2)/((1-($A21/固有振動数!$O$6:$O$22)^2)^2+固有振動数!$P$6:$P$22^2))</f>
        <v>17.1823818452067</v>
      </c>
      <c r="C21" s="20" t="n">
        <f aca="false">-SUMPRODUCT(固有振動数!$Q$6:$Q$22*固有振動数!$P$6:$P$22/((1-($A21/固有振動数!$O$6:$O$22)^2)^2+固有振動数!$P$6:$P$22^2))</f>
        <v>-0.0034754831557493</v>
      </c>
      <c r="D21" s="20" t="n">
        <f aca="false">SQRT(B21^2+C21^2)</f>
        <v>17.1823821967</v>
      </c>
      <c r="E21" s="32" t="n">
        <f aca="false">20*LOG10(MAX(D21,0.000000000001)/$K$3)</f>
        <v>24.701667500918</v>
      </c>
    </row>
    <row r="22" customFormat="false" ht="15" hidden="false" customHeight="false" outlineLevel="0" collapsed="false">
      <c r="A22" s="13" t="n">
        <f aca="false">A21+$F$3</f>
        <v>640</v>
      </c>
      <c r="B22" s="20" t="n">
        <f aca="false">SUMPRODUCT(固有振動数!$Q$6:$Q$22*(1-($A22/固有振動数!$O$6:$O$22)^2)/((1-($A22/固有振動数!$O$6:$O$22)^2)^2+固有振動数!$P$6:$P$22^2))</f>
        <v>17.2095194031833</v>
      </c>
      <c r="C22" s="20" t="n">
        <f aca="false">-SUMPRODUCT(固有振動数!$Q$6:$Q$22*固有振動数!$P$6:$P$22/((1-($A22/固有振動数!$O$6:$O$22)^2)^2+固有振動数!$P$6:$P$22^2))</f>
        <v>-0.00348717013324757</v>
      </c>
      <c r="D22" s="20" t="n">
        <f aca="false">SQRT(B22^2+C22^2)</f>
        <v>17.2095197564864</v>
      </c>
      <c r="E22" s="32" t="n">
        <f aca="false">20*LOG10(MAX(D22,0.000000000001)/$K$3)</f>
        <v>24.7153750241945</v>
      </c>
    </row>
    <row r="23" customFormat="false" ht="15" hidden="false" customHeight="false" outlineLevel="0" collapsed="false">
      <c r="A23" s="13" t="n">
        <f aca="false">A22+$F$3</f>
        <v>680</v>
      </c>
      <c r="B23" s="20" t="n">
        <f aca="false">SUMPRODUCT(固有振動数!$Q$6:$Q$22*(1-($A23/固有振動数!$O$6:$O$22)^2)/((1-($A23/固有振動数!$O$6:$O$22)^2)^2+固有振動数!$P$6:$P$22^2))</f>
        <v>17.2390090677585</v>
      </c>
      <c r="C23" s="20" t="n">
        <f aca="false">-SUMPRODUCT(固有振動数!$Q$6:$Q$22*固有振動数!$P$6:$P$22/((1-($A23/固有振動数!$O$6:$O$22)^2)^2+固有振動数!$P$6:$P$22^2))</f>
        <v>-0.00350001154530598</v>
      </c>
      <c r="D23" s="20" t="n">
        <f aca="false">SQRT(B23^2+C23^2)</f>
        <v>17.2390094230597</v>
      </c>
      <c r="E23" s="32" t="n">
        <f aca="false">20*LOG10(MAX(D23,0.000000000001)/$K$3)</f>
        <v>24.7302461410746</v>
      </c>
    </row>
    <row r="24" customFormat="false" ht="15" hidden="false" customHeight="false" outlineLevel="0" collapsed="false">
      <c r="A24" s="13" t="n">
        <f aca="false">A23+$F$3</f>
        <v>720</v>
      </c>
      <c r="B24" s="20" t="n">
        <f aca="false">SUMPRODUCT(固有振動数!$Q$6:$Q$22*(1-($A24/固有振動数!$O$6:$O$22)^2)/((1-($A24/固有振動数!$O$6:$O$22)^2)^2+固有振動数!$P$6:$P$22^2))</f>
        <v>17.2709931803739</v>
      </c>
      <c r="C24" s="20" t="n">
        <f aca="false">-SUMPRODUCT(固有振動数!$Q$6:$Q$22*固有振動数!$P$6:$P$22/((1-($A24/固有振動数!$O$6:$O$22)^2)^2+固有振動数!$P$6:$P$22^2))</f>
        <v>-0.0035141091329699</v>
      </c>
      <c r="D24" s="20" t="n">
        <f aca="false">SQRT(B24^2+C24^2)</f>
        <v>17.2709935378798</v>
      </c>
      <c r="E24" s="32" t="n">
        <f aca="false">20*LOG10(MAX(D24,0.000000000001)/$K$3)</f>
        <v>24.7463464335814</v>
      </c>
    </row>
    <row r="25" customFormat="false" ht="15" hidden="false" customHeight="false" outlineLevel="0" collapsed="false">
      <c r="A25" s="13" t="n">
        <f aca="false">A24+$F$3</f>
        <v>760</v>
      </c>
      <c r="B25" s="20" t="n">
        <f aca="false">SUMPRODUCT(固有振動数!$Q$6:$Q$22*(1-($A25/固有振動数!$O$6:$O$22)^2)/((1-($A25/固有振動数!$O$6:$O$22)^2)^2+固有振動数!$P$6:$P$22^2))</f>
        <v>17.3056339657611</v>
      </c>
      <c r="C25" s="20" t="n">
        <f aca="false">-SUMPRODUCT(固有振動数!$Q$6:$Q$22*固有振動数!$P$6:$P$22/((1-($A25/固有振動数!$O$6:$O$22)^2)^2+固有振動数!$P$6:$P$22^2))</f>
        <v>-0.00352958148492039</v>
      </c>
      <c r="D25" s="20" t="n">
        <f aca="false">SQRT(B25^2+C25^2)</f>
        <v>17.3056343257001</v>
      </c>
      <c r="E25" s="32" t="n">
        <f aca="false">20*LOG10(MAX(D25,0.000000000001)/$K$3)</f>
        <v>24.763750453536</v>
      </c>
    </row>
    <row r="26" customFormat="false" ht="15" hidden="false" customHeight="false" outlineLevel="0" collapsed="false">
      <c r="A26" s="13" t="n">
        <f aca="false">A25+$F$3</f>
        <v>800</v>
      </c>
      <c r="B26" s="20" t="n">
        <f aca="false">SUMPRODUCT(固有振動数!$Q$6:$Q$22*(1-($A26/固有振動数!$O$6:$O$22)^2)/((1-($A26/固有振動数!$O$6:$O$22)^2)^2+固有振動数!$P$6:$P$22^2))</f>
        <v>17.3431167084453</v>
      </c>
      <c r="C26" s="20" t="n">
        <f aca="false">-SUMPRODUCT(固有振動数!$Q$6:$Q$22*固有振動数!$P$6:$P$22/((1-($A26/固有振動数!$O$6:$O$22)^2)^2+固有振動数!$P$6:$P$22^2))</f>
        <v>-0.0035465673365425</v>
      </c>
      <c r="D26" s="20" t="n">
        <f aca="false">SQRT(B26^2+C26^2)</f>
        <v>17.3431170710716</v>
      </c>
      <c r="E26" s="32" t="n">
        <f aca="false">20*LOG10(MAX(D26,0.000000000001)/$K$3)</f>
        <v>24.7825431143683</v>
      </c>
    </row>
    <row r="27" customFormat="false" ht="15" hidden="false" customHeight="false" outlineLevel="0" collapsed="false">
      <c r="A27" s="13" t="n">
        <f aca="false">A26+$F$3</f>
        <v>840</v>
      </c>
      <c r="B27" s="20" t="n">
        <f aca="false">SUMPRODUCT(固有振動数!$Q$6:$Q$22*(1-($A27/固有振動数!$O$6:$O$22)^2)/((1-($A27/固有振動数!$O$6:$O$22)^2)^2+固有振動数!$P$6:$P$22^2))</f>
        <v>17.3836536141595</v>
      </c>
      <c r="C27" s="20" t="n">
        <f aca="false">-SUMPRODUCT(固有振動数!$Q$6:$Q$22*固有振動数!$P$6:$P$22/((1-($A27/固有振動数!$O$6:$O$22)^2)^2+固有振動数!$P$6:$P$22^2))</f>
        <v>-0.00356522969562747</v>
      </c>
      <c r="D27" s="20" t="n">
        <f aca="false">SQRT(B27^2+C27^2)</f>
        <v>17.3836539797576</v>
      </c>
      <c r="E27" s="32" t="n">
        <f aca="false">20*LOG10(MAX(D27,0.000000000001)/$K$3)</f>
        <v>24.8028213760314</v>
      </c>
    </row>
    <row r="28" customFormat="false" ht="15" hidden="false" customHeight="false" outlineLevel="0" collapsed="false">
      <c r="A28" s="13" t="n">
        <f aca="false">A27+$F$3</f>
        <v>880</v>
      </c>
      <c r="B28" s="20" t="n">
        <f aca="false">SUMPRODUCT(固有振動数!$Q$6:$Q$22*(1-($A28/固有振動数!$O$6:$O$22)^2)/((1-($A28/固有振動数!$O$6:$O$22)^2)^2+固有振動数!$P$6:$P$22^2))</f>
        <v>17.4274885320234</v>
      </c>
      <c r="C28" s="20" t="n">
        <f aca="false">-SUMPRODUCT(固有振動数!$Q$6:$Q$22*固有振動数!$P$6:$P$22/((1-($A28/固有振動数!$O$6:$O$22)^2)^2+固有振動数!$P$6:$P$22^2))</f>
        <v>-0.00358576103992328</v>
      </c>
      <c r="D28" s="20" t="n">
        <f aca="false">SQRT(B28^2+C28^2)</f>
        <v>17.4274889009143</v>
      </c>
      <c r="E28" s="32" t="n">
        <f aca="false">20*LOG10(MAX(D28,0.000000000001)/$K$3)</f>
        <v>24.8246962963698</v>
      </c>
    </row>
    <row r="29" customFormat="false" ht="15" hidden="false" customHeight="false" outlineLevel="0" collapsed="false">
      <c r="A29" s="13" t="n">
        <f aca="false">A28+$F$3</f>
        <v>920</v>
      </c>
      <c r="B29" s="20" t="n">
        <f aca="false">SUMPRODUCT(固有振動数!$Q$6:$Q$22*(1-($A29/固有振動数!$O$6:$O$22)^2)/((1-($A29/固有振動数!$O$6:$O$22)^2)^2+固有振動数!$P$6:$P$22^2))</f>
        <v>17.4749027676719</v>
      </c>
      <c r="C29" s="20" t="n">
        <f aca="false">-SUMPRODUCT(固有振動数!$Q$6:$Q$22*固有振動数!$P$6:$P$22/((1-($A29/固有振動数!$O$6:$O$22)^2)^2+固有振動数!$P$6:$P$22^2))</f>
        <v>-0.00360838991771598</v>
      </c>
      <c r="D29" s="20" t="n">
        <f aca="false">SQRT(B29^2+C29^2)</f>
        <v>17.4749031402198</v>
      </c>
      <c r="E29" s="32" t="n">
        <f aca="false">20*LOG10(MAX(D29,0.000000000001)/$K$3)</f>
        <v>24.8482955443948</v>
      </c>
    </row>
    <row r="30" customFormat="false" ht="15" hidden="false" customHeight="false" outlineLevel="0" collapsed="false">
      <c r="A30" s="13" t="n">
        <f aca="false">A29+$F$3</f>
        <v>960</v>
      </c>
      <c r="B30" s="20" t="n">
        <f aca="false">SUMPRODUCT(固有振動数!$Q$6:$Q$22*(1-($A30/固有振動数!$O$6:$O$22)^2)/((1-($A30/固有振動数!$O$6:$O$22)^2)^2+固有振動数!$P$6:$P$22^2))</f>
        <v>17.5262222914616</v>
      </c>
      <c r="C30" s="20" t="n">
        <f aca="false">-SUMPRODUCT(固有振動数!$Q$6:$Q$22*固有振動数!$P$6:$P$22/((1-($A30/固有振動数!$O$6:$O$22)^2)^2+固有振動数!$P$6:$P$22^2))</f>
        <v>-0.0036333894035161</v>
      </c>
      <c r="D30" s="20" t="n">
        <f aca="false">SQRT(B30^2+C30^2)</f>
        <v>17.5262226680835</v>
      </c>
      <c r="E30" s="32" t="n">
        <f aca="false">20*LOG10(MAX(D30,0.000000000001)/$K$3)</f>
        <v>24.8737665007963</v>
      </c>
    </row>
    <row r="31" customFormat="false" ht="15" hidden="false" customHeight="false" outlineLevel="0" collapsed="false">
      <c r="A31" s="13" t="n">
        <f aca="false">A30+$F$3</f>
        <v>1000</v>
      </c>
      <c r="B31" s="20" t="n">
        <f aca="false">SUMPRODUCT(固有振動数!$Q$6:$Q$22*(1-($A31/固有振動数!$O$6:$O$22)^2)/((1-($A31/固有振動数!$O$6:$O$22)^2)^2+固有振動数!$P$6:$P$22^2))</f>
        <v>17.5818267476722</v>
      </c>
      <c r="C31" s="20" t="n">
        <f aca="false">-SUMPRODUCT(固有振動数!$Q$6:$Q$22*固有振動数!$P$6:$P$22/((1-($A31/固有振動数!$O$6:$O$22)^2)^2+固有振動数!$P$6:$P$22^2))</f>
        <v>-0.0036610880330548</v>
      </c>
      <c r="D31" s="20" t="n">
        <f aca="false">SQRT(B31^2+C31^2)</f>
        <v>17.5818271288489</v>
      </c>
      <c r="E31" s="32" t="n">
        <f aca="false">20*LOG10(MAX(D31,0.000000000001)/$K$3)</f>
        <v>24.9012801118471</v>
      </c>
    </row>
    <row r="32" customFormat="false" ht="15" hidden="false" customHeight="false" outlineLevel="0" collapsed="false">
      <c r="A32" s="13" t="n">
        <f aca="false">A31+$F$3</f>
        <v>1040</v>
      </c>
      <c r="B32" s="20" t="n">
        <f aca="false">SUMPRODUCT(固有振動数!$Q$6:$Q$22*(1-($A32/固有振動数!$O$6:$O$22)^2)/((1-($A32/固有振動数!$O$6:$O$22)^2)^2+固有振動数!$P$6:$P$22^2))</f>
        <v>17.6421608124092</v>
      </c>
      <c r="C32" s="20" t="n">
        <f aca="false">-SUMPRODUCT(固有振動数!$Q$6:$Q$22*固有振動数!$P$6:$P$22/((1-($A32/固有振動数!$O$6:$O$22)^2)^2+固有振動数!$P$6:$P$22^2))</f>
        <v>-0.00369188409017345</v>
      </c>
      <c r="D32" s="20" t="n">
        <f aca="false">SQRT(B32^2+C32^2)</f>
        <v>17.6421611987</v>
      </c>
      <c r="E32" s="32" t="n">
        <f aca="false">20*LOG10(MAX(D32,0.000000000001)/$K$3)</f>
        <v>24.9310357192918</v>
      </c>
    </row>
    <row r="33" customFormat="false" ht="15" hidden="false" customHeight="false" outlineLevel="0" collapsed="false">
      <c r="A33" s="13" t="n">
        <f aca="false">A32+$F$3</f>
        <v>1080</v>
      </c>
      <c r="B33" s="20" t="n">
        <f aca="false">SUMPRODUCT(固有振動数!$Q$6:$Q$22*(1-($A33/固有振動数!$O$6:$O$22)^2)/((1-($A33/固有振動数!$O$6:$O$22)^2)^2+固有振動数!$P$6:$P$22^2))</f>
        <v>17.707748648025</v>
      </c>
      <c r="C33" s="20" t="n">
        <f aca="false">-SUMPRODUCT(固有振動数!$Q$6:$Q$22*固有振動数!$P$6:$P$22/((1-($A33/固有振動数!$O$6:$O$22)^2)^2+固有振動数!$P$6:$P$22^2))</f>
        <v>-0.003726264481782</v>
      </c>
      <c r="D33" s="20" t="n">
        <f aca="false">SQRT(B33^2+C33^2)</f>
        <v>17.7077490400863</v>
      </c>
      <c r="E33" s="32" t="n">
        <f aca="false">20*LOG10(MAX(D33,0.000000000001)/$K$3)</f>
        <v>24.9632671677874</v>
      </c>
    </row>
    <row r="34" customFormat="false" ht="15" hidden="false" customHeight="false" outlineLevel="0" collapsed="false">
      <c r="A34" s="13" t="n">
        <f aca="false">A33+$F$3</f>
        <v>1120</v>
      </c>
      <c r="B34" s="20" t="n">
        <f aca="false">SUMPRODUCT(固有振動数!$Q$6:$Q$22*(1-($A34/固有振動数!$O$6:$O$22)^2)/((1-($A34/固有振動数!$O$6:$O$22)^2)^2+固有振動数!$P$6:$P$22^2))</f>
        <v>17.7792124882324</v>
      </c>
      <c r="C34" s="20" t="n">
        <f aca="false">-SUMPRODUCT(固有振動数!$Q$6:$Q$22*固有振動数!$P$6:$P$22/((1-($A34/固有振動数!$O$6:$O$22)^2)^2+固有振動数!$P$6:$P$22^2))</f>
        <v>-0.00376482997763848</v>
      </c>
      <c r="D34" s="20" t="n">
        <f aca="false">SQRT(B34^2+C34^2)</f>
        <v>17.7792128868424</v>
      </c>
      <c r="E34" s="32" t="n">
        <f aca="false">20*LOG10(MAX(D34,0.000000000001)/$K$3)</f>
        <v>24.9982506034739</v>
      </c>
    </row>
    <row r="35" customFormat="false" ht="15" hidden="false" customHeight="false" outlineLevel="0" collapsed="false">
      <c r="A35" s="13" t="n">
        <f aca="false">A34+$F$3</f>
        <v>1160</v>
      </c>
      <c r="B35" s="20" t="n">
        <f aca="false">SUMPRODUCT(固有振動数!$Q$6:$Q$22*(1-($A35/固有振動数!$O$6:$O$22)^2)/((1-($A35/固有振動数!$O$6:$O$22)^2)^2+固有振動数!$P$6:$P$22^2))</f>
        <v>17.8572968041338</v>
      </c>
      <c r="C35" s="20" t="n">
        <f aca="false">-SUMPRODUCT(固有振動数!$Q$6:$Q$22*固有振動数!$P$6:$P$22/((1-($A35/固有振動数!$O$6:$O$22)^2)^2+固有振動数!$P$6:$P$22^2))</f>
        <v>-0.00380832940906657</v>
      </c>
      <c r="D35" s="20" t="n">
        <f aca="false">SQRT(B35^2+C35^2)</f>
        <v>17.8572972102247</v>
      </c>
      <c r="E35" s="32" t="n">
        <f aca="false">20*LOG10(MAX(D35,0.000000000001)/$K$3)</f>
        <v>25.0363145384062</v>
      </c>
    </row>
    <row r="36" customFormat="false" ht="15" hidden="false" customHeight="false" outlineLevel="0" collapsed="false">
      <c r="A36" s="13" t="n">
        <f aca="false">A35+$F$3</f>
        <v>1200</v>
      </c>
      <c r="B36" s="20" t="n">
        <f aca="false">SUMPRODUCT(固有振動数!$Q$6:$Q$22*(1-($A36/固有振動数!$O$6:$O$22)^2)/((1-($A36/固有振動数!$O$6:$O$22)^2)^2+固有振動数!$P$6:$P$22^2))</f>
        <v>17.9429001158798</v>
      </c>
      <c r="C36" s="20" t="n">
        <f aca="false">-SUMPRODUCT(固有振動数!$Q$6:$Q$22*固有振動数!$P$6:$P$22/((1-($A36/固有振動数!$O$6:$O$22)^2)^2+固有振動数!$P$6:$P$22^2))</f>
        <v>-0.00385770667946494</v>
      </c>
      <c r="D36" s="20" t="n">
        <f aca="false">SQRT(B36^2+C36^2)</f>
        <v>17.9429005305815</v>
      </c>
      <c r="E36" s="32" t="n">
        <f aca="false">20*LOG10(MAX(D36,0.000000000001)/$K$3)</f>
        <v>25.0778529911119</v>
      </c>
    </row>
    <row r="37" customFormat="false" ht="15" hidden="false" customHeight="false" outlineLevel="0" collapsed="false">
      <c r="A37" s="13" t="n">
        <f aca="false">A36+$F$3</f>
        <v>1240</v>
      </c>
      <c r="B37" s="20" t="n">
        <f aca="false">SUMPRODUCT(固有振動数!$Q$6:$Q$22*(1-($A37/固有振動数!$O$6:$O$22)^2)/((1-($A37/固有振動数!$O$6:$O$22)^2)^2+固有振動数!$P$6:$P$22^2))</f>
        <v>18.0371174387343</v>
      </c>
      <c r="C37" s="20" t="n">
        <f aca="false">-SUMPRODUCT(固有振動数!$Q$6:$Q$22*固有振動数!$P$6:$P$22/((1-($A37/固有振動数!$O$6:$O$22)^2)^2+固有振動数!$P$6:$P$22^2))</f>
        <v>-0.00391416641714525</v>
      </c>
      <c r="D37" s="20" t="n">
        <f aca="false">SQRT(B37^2+C37^2)</f>
        <v>18.0371178634335</v>
      </c>
      <c r="E37" s="32" t="n">
        <f aca="false">20*LOG10(MAX(D37,0.000000000001)/$K$3)</f>
        <v>25.1233428636691</v>
      </c>
    </row>
    <row r="38" customFormat="false" ht="15" hidden="false" customHeight="false" outlineLevel="0" collapsed="false">
      <c r="A38" s="13" t="n">
        <f aca="false">A37+$F$3</f>
        <v>1280</v>
      </c>
      <c r="B38" s="20" t="n">
        <f aca="false">SUMPRODUCT(固有振動数!$Q$6:$Q$22*(1-($A38/固有振動数!$O$6:$O$22)^2)/((1-($A38/固有振動数!$O$6:$O$22)^2)^2+固有振動数!$P$6:$P$22^2))</f>
        <v>18.1412977695825</v>
      </c>
      <c r="C38" s="20" t="n">
        <f aca="false">-SUMPRODUCT(固有振動数!$Q$6:$Q$22*固有振動数!$P$6:$P$22/((1-($A38/固有振動数!$O$6:$O$22)^2)^2+固有振動数!$P$6:$P$22^2))</f>
        <v>-0.00397926727740674</v>
      </c>
      <c r="D38" s="20" t="n">
        <f aca="false">SQRT(B38^2+C38^2)</f>
        <v>18.1412982060057</v>
      </c>
      <c r="E38" s="32" t="n">
        <f aca="false">20*LOG10(MAX(D38,0.000000000001)/$K$3)</f>
        <v>25.1733672460263</v>
      </c>
    </row>
    <row r="39" customFormat="false" ht="15" hidden="false" customHeight="false" outlineLevel="0" collapsed="false">
      <c r="A39" s="13" t="n">
        <f aca="false">A38+$F$3</f>
        <v>1320</v>
      </c>
      <c r="B39" s="20" t="n">
        <f aca="false">SUMPRODUCT(固有振動数!$Q$6:$Q$22*(1-($A39/固有振動数!$O$6:$O$22)^2)/((1-($A39/固有振動数!$O$6:$O$22)^2)^2+固有振動数!$P$6:$P$22^2))</f>
        <v>18.257123241439</v>
      </c>
      <c r="C39" s="20" t="n">
        <f aca="false">-SUMPRODUCT(固有振動数!$Q$6:$Q$22*固有振動数!$P$6:$P$22/((1-($A39/固有振動数!$O$6:$O$22)^2)^2+固有振動数!$P$6:$P$22^2))</f>
        <v>-0.00405505712767611</v>
      </c>
      <c r="D39" s="20" t="n">
        <f aca="false">SQRT(B39^2+C39^2)</f>
        <v>18.2571236917698</v>
      </c>
      <c r="E39" s="32" t="n">
        <f aca="false">20*LOG10(MAX(D39,0.000000000001)/$K$3)</f>
        <v>25.2286471581749</v>
      </c>
    </row>
    <row r="40" customFormat="false" ht="15" hidden="false" customHeight="false" outlineLevel="0" collapsed="false">
      <c r="A40" s="13" t="n">
        <f aca="false">A39+$F$3</f>
        <v>1360</v>
      </c>
      <c r="B40" s="20" t="n">
        <f aca="false">SUMPRODUCT(固有振動数!$Q$6:$Q$22*(1-($A40/固有振動数!$O$6:$O$22)^2)/((1-($A40/固有振動数!$O$6:$O$22)^2)^2+固有振動数!$P$6:$P$22^2))</f>
        <v>18.3867201406521</v>
      </c>
      <c r="C40" s="20" t="n">
        <f aca="false">-SUMPRODUCT(固有振動数!$Q$6:$Q$22*固有振動数!$P$6:$P$22/((1-($A40/固有振動数!$O$6:$O$22)^2)^2+固有振動数!$P$6:$P$22^2))</f>
        <v>-0.00414427318545778</v>
      </c>
      <c r="D40" s="20" t="n">
        <f aca="false">SQRT(B40^2+C40^2)</f>
        <v>18.3867206077011</v>
      </c>
      <c r="E40" s="32" t="n">
        <f aca="false">20*LOG10(MAX(D40,0.000000000001)/$K$3)</f>
        <v>25.2900855374733</v>
      </c>
    </row>
    <row r="41" customFormat="false" ht="15" hidden="false" customHeight="false" outlineLevel="0" collapsed="false">
      <c r="A41" s="13" t="n">
        <f aca="false">A40+$F$3</f>
        <v>1400</v>
      </c>
      <c r="B41" s="20" t="n">
        <f aca="false">SUMPRODUCT(固有振動数!$Q$6:$Q$22*(1-($A41/固有振動数!$O$6:$O$22)^2)/((1-($A41/固有振動数!$O$6:$O$22)^2)^2+固有振動数!$P$6:$P$22^2))</f>
        <v>18.532817865511</v>
      </c>
      <c r="C41" s="20" t="n">
        <f aca="false">-SUMPRODUCT(固有振動数!$Q$6:$Q$22*固有振動数!$P$6:$P$22/((1-($A41/固有振動数!$O$6:$O$22)^2)^2+固有振動数!$P$6:$P$22^2))</f>
        <v>-0.00425064557120096</v>
      </c>
      <c r="D41" s="20" t="n">
        <f aca="false">SQRT(B41^2+C41^2)</f>
        <v>18.5328183529703</v>
      </c>
      <c r="E41" s="32" t="n">
        <f aca="false">20*LOG10(MAX(D41,0.000000000001)/$K$3)</f>
        <v>25.3588293815961</v>
      </c>
    </row>
    <row r="42" customFormat="false" ht="15" hidden="false" customHeight="false" outlineLevel="0" collapsed="false">
      <c r="A42" s="13" t="n">
        <f aca="false">A41+$F$3</f>
        <v>1440</v>
      </c>
      <c r="B42" s="20" t="n">
        <f aca="false">SUMPRODUCT(固有振動数!$Q$6:$Q$22*(1-($A42/固有振動数!$O$6:$O$22)^2)/((1-($A42/固有振動数!$O$6:$O$22)^2)^2+固有振動数!$P$6:$P$22^2))</f>
        <v>18.6989819082093</v>
      </c>
      <c r="C42" s="20" t="n">
        <f aca="false">-SUMPRODUCT(固有振動数!$Q$6:$Q$22*固有振動数!$P$6:$P$22/((1-($A42/固有振動数!$O$6:$O$22)^2)^2+固有振動数!$P$6:$P$22^2))</f>
        <v>-0.0043793704727324</v>
      </c>
      <c r="D42" s="20" t="n">
        <f aca="false">SQRT(B42^2+C42^2)</f>
        <v>18.6989824210417</v>
      </c>
      <c r="E42" s="32" t="n">
        <f aca="false">20*LOG10(MAX(D42,0.000000000001)/$K$3)</f>
        <v>25.4363594666113</v>
      </c>
    </row>
    <row r="43" customFormat="false" ht="15" hidden="false" customHeight="false" outlineLevel="0" collapsed="false">
      <c r="A43" s="13" t="n">
        <f aca="false">A42+$F$3</f>
        <v>1480</v>
      </c>
      <c r="B43" s="20" t="n">
        <f aca="false">SUMPRODUCT(固有振動数!$Q$6:$Q$22*(1-($A43/固有振動数!$O$6:$O$22)^2)/((1-($A43/固有振動数!$O$6:$O$22)^2)^2+固有振動数!$P$6:$P$22^2))</f>
        <v>18.88996453957</v>
      </c>
      <c r="C43" s="20" t="n">
        <f aca="false">-SUMPRODUCT(固有振動数!$Q$6:$Q$22*固有振動数!$P$6:$P$22/((1-($A43/固有振動数!$O$6:$O$22)^2)^2+固有振動数!$P$6:$P$22^2))</f>
        <v>-0.00453787103882325</v>
      </c>
      <c r="D43" s="20" t="n">
        <f aca="false">SQRT(B43^2+C43^2)</f>
        <v>18.8899650846285</v>
      </c>
      <c r="E43" s="32" t="n">
        <f aca="false">20*LOG10(MAX(D43,0.000000000001)/$K$3)</f>
        <v>25.5246231038393</v>
      </c>
    </row>
    <row r="44" customFormat="false" ht="15" hidden="false" customHeight="false" outlineLevel="0" collapsed="false">
      <c r="A44" s="13" t="n">
        <f aca="false">A43+$F$3</f>
        <v>1520</v>
      </c>
      <c r="B44" s="20" t="n">
        <f aca="false">SUMPRODUCT(固有振動数!$Q$6:$Q$22*(1-($A44/固有振動数!$O$6:$O$22)^2)/((1-($A44/固有振動数!$O$6:$O$22)^2)^2+固有振動数!$P$6:$P$22^2))</f>
        <v>19.1122490643944</v>
      </c>
      <c r="C44" s="20" t="n">
        <f aca="false">-SUMPRODUCT(固有振動数!$Q$6:$Q$22*固有振動数!$P$6:$P$22/((1-($A44/固有振動数!$O$6:$O$22)^2)^2+固有振動数!$P$6:$P$22^2))</f>
        <v>-0.00473706566029574</v>
      </c>
      <c r="D44" s="20" t="n">
        <f aca="false">SQRT(B44^2+C44^2)</f>
        <v>19.112249651447</v>
      </c>
      <c r="E44" s="32" t="n">
        <f aca="false">20*LOG10(MAX(D44,0.000000000001)/$K$3)</f>
        <v>25.6262361939592</v>
      </c>
    </row>
    <row r="45" customFormat="false" ht="15" hidden="false" customHeight="false" outlineLevel="0" collapsed="false">
      <c r="A45" s="13" t="n">
        <f aca="false">A44+$F$3</f>
        <v>1560</v>
      </c>
      <c r="B45" s="20" t="n">
        <f aca="false">SUMPRODUCT(固有振動数!$Q$6:$Q$22*(1-($A45/固有振動数!$O$6:$O$22)^2)/((1-($A45/固有振動数!$O$6:$O$22)^2)^2+固有振動数!$P$6:$P$22^2))</f>
        <v>19.3749251024598</v>
      </c>
      <c r="C45" s="20" t="n">
        <f aca="false">-SUMPRODUCT(固有振動数!$Q$6:$Q$22*固有振動数!$P$6:$P$22/((1-($A45/固有振動数!$O$6:$O$22)^2)^2+固有振動数!$P$6:$P$22^2))</f>
        <v>-0.00499357215707831</v>
      </c>
      <c r="D45" s="20" t="n">
        <f aca="false">SQRT(B45^2+C45^2)</f>
        <v>19.3749257459659</v>
      </c>
      <c r="E45" s="32" t="n">
        <f aca="false">20*LOG10(MAX(D45,0.000000000001)/$K$3)</f>
        <v>25.744800935124</v>
      </c>
    </row>
    <row r="46" customFormat="false" ht="15" hidden="false" customHeight="false" outlineLevel="0" collapsed="false">
      <c r="A46" s="13" t="n">
        <f aca="false">A45+$F$3</f>
        <v>1600</v>
      </c>
      <c r="B46" s="20" t="n">
        <f aca="false">SUMPRODUCT(固有振動数!$Q$6:$Q$22*(1-($A46/固有振動数!$O$6:$O$22)^2)/((1-($A46/固有振動数!$O$6:$O$22)^2)^2+固有振動数!$P$6:$P$22^2))</f>
        <v>19.6911565416484</v>
      </c>
      <c r="C46" s="20" t="n">
        <f aca="false">-SUMPRODUCT(固有振動数!$Q$6:$Q$22*固有振動数!$P$6:$P$22/((1-($A46/固有振動数!$O$6:$O$22)^2)^2+固有振動数!$P$6:$P$22^2))</f>
        <v>-0.00533373210909039</v>
      </c>
      <c r="D46" s="20" t="n">
        <f aca="false">SQRT(B46^2+C46^2)</f>
        <v>19.6911572640208</v>
      </c>
      <c r="E46" s="32" t="n">
        <f aca="false">20*LOG10(MAX(D46,0.000000000001)/$K$3)</f>
        <v>25.8854248139855</v>
      </c>
    </row>
    <row r="47" customFormat="false" ht="15" hidden="false" customHeight="false" outlineLevel="0" collapsed="false">
      <c r="A47" s="13" t="n">
        <f aca="false">A46+$F$3</f>
        <v>1640</v>
      </c>
      <c r="B47" s="20" t="n">
        <f aca="false">SUMPRODUCT(固有振動数!$Q$6:$Q$22*(1-($A47/固有振動数!$O$6:$O$22)^2)/((1-($A47/固有振動数!$O$6:$O$22)^2)^2+固有振動数!$P$6:$P$22^2))</f>
        <v>20.080770320844</v>
      </c>
      <c r="C47" s="20" t="n">
        <f aca="false">-SUMPRODUCT(固有振動数!$Q$6:$Q$22*固有振動数!$P$6:$P$22/((1-($A47/固有振動数!$O$6:$O$22)^2)^2+固有振動数!$P$6:$P$22^2))</f>
        <v>-0.00580140607025079</v>
      </c>
      <c r="D47" s="20" t="n">
        <f aca="false">SQRT(B47^2+C47^2)</f>
        <v>20.0807711588674</v>
      </c>
      <c r="E47" s="32" t="n">
        <f aca="false">20*LOG10(MAX(D47,0.000000000001)/$K$3)</f>
        <v>26.0556077387923</v>
      </c>
    </row>
    <row r="48" customFormat="false" ht="15" hidden="false" customHeight="false" outlineLevel="0" collapsed="false">
      <c r="A48" s="13" t="n">
        <f aca="false">A47+$F$3</f>
        <v>1680</v>
      </c>
      <c r="B48" s="20" t="n">
        <f aca="false">SUMPRODUCT(固有振動数!$Q$6:$Q$22*(1-($A48/固有振動数!$O$6:$O$22)^2)/((1-($A48/固有振動数!$O$6:$O$22)^2)^2+固有振動数!$P$6:$P$22^2))</f>
        <v>20.5751106929182</v>
      </c>
      <c r="C48" s="20" t="n">
        <f aca="false">-SUMPRODUCT(固有振動数!$Q$6:$Q$22*固有振動数!$P$6:$P$22/((1-($A48/固有振動数!$O$6:$O$22)^2)^2+固有振動数!$P$6:$P$22^2))</f>
        <v>-0.00647420692876483</v>
      </c>
      <c r="D48" s="20" t="n">
        <f aca="false">SQRT(B48^2+C48^2)</f>
        <v>20.5751117115119</v>
      </c>
      <c r="E48" s="32" t="n">
        <f aca="false">20*LOG10(MAX(D48,0.000000000001)/$K$3)</f>
        <v>26.2668440374057</v>
      </c>
    </row>
    <row r="49" customFormat="false" ht="15" hidden="false" customHeight="false" outlineLevel="0" collapsed="false">
      <c r="A49" s="13" t="n">
        <f aca="false">A48+$F$3</f>
        <v>1720</v>
      </c>
      <c r="B49" s="20" t="n">
        <f aca="false">SUMPRODUCT(固有振動数!$Q$6:$Q$22*(1-($A49/固有振動数!$O$6:$O$22)^2)/((1-($A49/固有振動数!$O$6:$O$22)^2)^2+固有振動数!$P$6:$P$22^2))</f>
        <v>21.2268680022557</v>
      </c>
      <c r="C49" s="20" t="n">
        <f aca="false">-SUMPRODUCT(固有振動数!$Q$6:$Q$22*固有振動数!$P$6:$P$22/((1-($A49/固有振動数!$O$6:$O$22)^2)^2+固有振動数!$P$6:$P$22^2))</f>
        <v>-0.00750052317390495</v>
      </c>
      <c r="D49" s="20" t="n">
        <f aca="false">SQRT(B49^2+C49^2)</f>
        <v>21.2268693274122</v>
      </c>
      <c r="E49" s="32" t="n">
        <f aca="false">20*LOG10(MAX(D49,0.000000000001)/$K$3)</f>
        <v>26.5377189279848</v>
      </c>
    </row>
    <row r="50" customFormat="false" ht="15" hidden="false" customHeight="false" outlineLevel="0" collapsed="false">
      <c r="A50" s="13" t="n">
        <f aca="false">A49+$F$3</f>
        <v>1760</v>
      </c>
      <c r="B50" s="20" t="n">
        <f aca="false">SUMPRODUCT(固有振動数!$Q$6:$Q$22*(1-($A50/固有振動数!$O$6:$O$22)^2)/((1-($A50/固有振動数!$O$6:$O$22)^2)^2+固有振動数!$P$6:$P$22^2))</f>
        <v>22.1320563300167</v>
      </c>
      <c r="C50" s="20" t="n">
        <f aca="false">-SUMPRODUCT(固有振動数!$Q$6:$Q$22*固有振動数!$P$6:$P$22/((1-($A50/固有振動数!$O$6:$O$22)^2)^2+固有振動数!$P$6:$P$22^2))</f>
        <v>-0.00919453833275157</v>
      </c>
      <c r="D50" s="20" t="n">
        <f aca="false">SQRT(B50^2+C50^2)</f>
        <v>22.1320582399054</v>
      </c>
      <c r="E50" s="32" t="n">
        <f aca="false">20*LOG10(MAX(D50,0.000000000001)/$K$3)</f>
        <v>26.9004360875532</v>
      </c>
    </row>
    <row r="51" customFormat="false" ht="15" hidden="false" customHeight="false" outlineLevel="0" collapsed="false">
      <c r="A51" s="13" t="n">
        <f aca="false">A50+$F$3</f>
        <v>1800</v>
      </c>
      <c r="B51" s="20" t="n">
        <f aca="false">SUMPRODUCT(固有振動数!$Q$6:$Q$22*(1-($A51/固有振動数!$O$6:$O$22)^2)/((1-($A51/固有振動数!$O$6:$O$22)^2)^2+固有振動数!$P$6:$P$22^2))</f>
        <v>23.4862088466454</v>
      </c>
      <c r="C51" s="20" t="n">
        <f aca="false">-SUMPRODUCT(固有振動数!$Q$6:$Q$22*固有振動数!$P$6:$P$22/((1-($A51/固有振動数!$O$6:$O$22)^2)^2+固有振動数!$P$6:$P$22^2))</f>
        <v>-0.0123225801247024</v>
      </c>
      <c r="D51" s="20" t="n">
        <f aca="false">SQRT(B51^2+C51^2)</f>
        <v>23.4862120793078</v>
      </c>
      <c r="E51" s="32" t="n">
        <f aca="false">20*LOG10(MAX(D51,0.000000000001)/$K$3)</f>
        <v>27.4162595644084</v>
      </c>
    </row>
    <row r="52" customFormat="false" ht="15" hidden="false" customHeight="false" outlineLevel="0" collapsed="false">
      <c r="A52" s="13" t="n">
        <f aca="false">A51+$F$3</f>
        <v>1840</v>
      </c>
      <c r="B52" s="20" t="n">
        <f aca="false">SUMPRODUCT(固有振動数!$Q$6:$Q$22*(1-($A52/固有振動数!$O$6:$O$22)^2)/((1-($A52/固有振動数!$O$6:$O$22)^2)^2+固有振動数!$P$6:$P$22^2))</f>
        <v>25.758733181361</v>
      </c>
      <c r="C52" s="20" t="n">
        <f aca="false">-SUMPRODUCT(固有振動数!$Q$6:$Q$22*固有振動数!$P$6:$P$22/((1-($A52/固有振動数!$O$6:$O$22)^2)^2+固有振動数!$P$6:$P$22^2))</f>
        <v>-0.0191938955728655</v>
      </c>
      <c r="D52" s="20" t="n">
        <f aca="false">SQRT(B52^2+C52^2)</f>
        <v>25.758740332442</v>
      </c>
      <c r="E52" s="32" t="n">
        <f aca="false">20*LOG10(MAX(D52,0.000000000001)/$K$3)</f>
        <v>28.2184924221672</v>
      </c>
    </row>
    <row r="53" customFormat="false" ht="15" hidden="false" customHeight="false" outlineLevel="0" collapsed="false">
      <c r="A53" s="13" t="n">
        <f aca="false">A52+$F$3</f>
        <v>1880</v>
      </c>
      <c r="B53" s="20" t="n">
        <f aca="false">SUMPRODUCT(固有振動数!$Q$6:$Q$22*(1-($A53/固有振動数!$O$6:$O$22)^2)/((1-($A53/固有振動数!$O$6:$O$22)^2)^2+固有振動数!$P$6:$P$22^2))</f>
        <v>30.4316931487776</v>
      </c>
      <c r="C53" s="20" t="n">
        <f aca="false">-SUMPRODUCT(固有振動数!$Q$6:$Q$22*固有振動数!$P$6:$P$22/((1-($A53/固有振動数!$O$6:$O$22)^2)^2+固有振動数!$P$6:$P$22^2))</f>
        <v>-0.0397704127808388</v>
      </c>
      <c r="D53" s="20" t="n">
        <f aca="false">SQRT(B53^2+C53^2)</f>
        <v>30.4317191362415</v>
      </c>
      <c r="E53" s="32" t="n">
        <f aca="false">20*LOG10(MAX(D53,0.000000000001)/$K$3)</f>
        <v>29.6665297407515</v>
      </c>
    </row>
    <row r="54" customFormat="false" ht="15" hidden="false" customHeight="false" outlineLevel="0" collapsed="false">
      <c r="A54" s="13" t="n">
        <f aca="false">A53+$F$3</f>
        <v>1920</v>
      </c>
      <c r="B54" s="20" t="n">
        <f aca="false">SUMPRODUCT(固有振動数!$Q$6:$Q$22*(1-($A54/固有振動数!$O$6:$O$22)^2)/((1-($A54/固有振動数!$O$6:$O$22)^2)^2+固有振動数!$P$6:$P$22^2))</f>
        <v>45.9324897242306</v>
      </c>
      <c r="C54" s="20" t="n">
        <f aca="false">-SUMPRODUCT(固有振動数!$Q$6:$Q$22*固有振動数!$P$6:$P$22/((1-($A54/固有振動数!$O$6:$O$22)^2)^2+固有振動数!$P$6:$P$22^2))</f>
        <v>-0.170467758520922</v>
      </c>
      <c r="D54" s="20" t="n">
        <f aca="false">SQRT(B54^2+C54^2)</f>
        <v>45.9328060488715</v>
      </c>
      <c r="E54" s="32" t="n">
        <f aca="false">20*LOG10(MAX(D54,0.000000000001)/$K$3)</f>
        <v>33.2424595481652</v>
      </c>
    </row>
    <row r="55" customFormat="false" ht="15" hidden="false" customHeight="false" outlineLevel="0" collapsed="false">
      <c r="A55" s="13" t="n">
        <f aca="false">A54+$F$3</f>
        <v>1960</v>
      </c>
      <c r="B55" s="20" t="n">
        <f aca="false">SUMPRODUCT(固有振動数!$Q$6:$Q$22*(1-($A55/固有振動数!$O$6:$O$22)^2)/((1-($A55/固有振動数!$O$6:$O$22)^2)^2+固有振動数!$P$6:$P$22^2))</f>
        <v>-149.031447972911</v>
      </c>
      <c r="C55" s="20" t="n">
        <f aca="false">-SUMPRODUCT(固有振動数!$Q$6:$Q$22*固有振動数!$P$6:$P$22/((1-($A55/固有振動数!$O$6:$O$22)^2)^2+固有振動数!$P$6:$P$22^2))</f>
        <v>-5.5311926830183</v>
      </c>
      <c r="D55" s="20" t="n">
        <f aca="false">SQRT(B55^2+C55^2)</f>
        <v>149.134055726381</v>
      </c>
      <c r="E55" s="32" t="n">
        <f aca="false">20*LOG10(MAX(D55,0.000000000001)/$K$3)</f>
        <v>43.4715365746528</v>
      </c>
    </row>
    <row r="56" customFormat="false" ht="15" hidden="false" customHeight="false" outlineLevel="0" collapsed="false">
      <c r="A56" s="13" t="n">
        <f aca="false">A55+$F$3</f>
        <v>2000</v>
      </c>
      <c r="B56" s="20" t="n">
        <f aca="false">SUMPRODUCT(固有振動数!$Q$6:$Q$22*(1-($A56/固有振動数!$O$6:$O$22)^2)/((1-($A56/固有振動数!$O$6:$O$22)^2)^2+固有振動数!$P$6:$P$22^2))</f>
        <v>-3.86671023453889</v>
      </c>
      <c r="C56" s="20" t="n">
        <f aca="false">-SUMPRODUCT(固有振動数!$Q$6:$Q$22*固有振動数!$P$6:$P$22/((1-($A56/固有振動数!$O$6:$O$22)^2)^2+固有振動数!$P$6:$P$22^2))</f>
        <v>-0.0924553823888977</v>
      </c>
      <c r="D56" s="20" t="n">
        <f aca="false">SQRT(B56^2+C56^2)</f>
        <v>3.86781540867974</v>
      </c>
      <c r="E56" s="32" t="n">
        <f aca="false">20*LOG10(MAX(D56,0.000000000001)/$K$3)</f>
        <v>11.7493147844098</v>
      </c>
    </row>
    <row r="57" customFormat="false" ht="15" hidden="false" customHeight="false" outlineLevel="0" collapsed="false">
      <c r="A57" s="13" t="n">
        <f aca="false">A56+$F$3</f>
        <v>2040</v>
      </c>
      <c r="B57" s="20" t="n">
        <f aca="false">SUMPRODUCT(固有振動数!$Q$6:$Q$22*(1-($A57/固有振動数!$O$6:$O$22)^2)/((1-($A57/固有振動数!$O$6:$O$22)^2)^2+固有振動数!$P$6:$P$22^2))</f>
        <v>6.12646845419038</v>
      </c>
      <c r="C57" s="20" t="n">
        <f aca="false">-SUMPRODUCT(固有振動数!$Q$6:$Q$22*固有振動数!$P$6:$P$22/((1-($A57/固有振動数!$O$6:$O$22)^2)^2+固有振動数!$P$6:$P$22^2))</f>
        <v>-0.0286265723735775</v>
      </c>
      <c r="D57" s="20" t="n">
        <f aca="false">SQRT(B57^2+C57^2)</f>
        <v>6.12653533417018</v>
      </c>
      <c r="E57" s="32" t="n">
        <f aca="false">20*LOG10(MAX(D57,0.000000000001)/$K$3)</f>
        <v>15.7442988520824</v>
      </c>
    </row>
    <row r="58" customFormat="false" ht="15" hidden="false" customHeight="false" outlineLevel="0" collapsed="false">
      <c r="A58" s="13" t="n">
        <f aca="false">A57+$F$3</f>
        <v>2080</v>
      </c>
      <c r="B58" s="20" t="n">
        <f aca="false">SUMPRODUCT(固有振動数!$Q$6:$Q$22*(1-($A58/固有振動数!$O$6:$O$22)^2)/((1-($A58/固有振動数!$O$6:$O$22)^2)^2+固有振動数!$P$6:$P$22^2))</f>
        <v>9.81714241896728</v>
      </c>
      <c r="C58" s="20" t="n">
        <f aca="false">-SUMPRODUCT(固有振動数!$Q$6:$Q$22*固有振動数!$P$6:$P$22/((1-($A58/固有振動数!$O$6:$O$22)^2)^2+固有振動数!$P$6:$P$22^2))</f>
        <v>-0.015192513794284</v>
      </c>
      <c r="D58" s="20" t="n">
        <f aca="false">SQRT(B58^2+C58^2)</f>
        <v>9.81715417454377</v>
      </c>
      <c r="E58" s="32" t="n">
        <f aca="false">20*LOG10(MAX(D58,0.000000000001)/$K$3)</f>
        <v>19.8397122294421</v>
      </c>
    </row>
    <row r="59" customFormat="false" ht="15" hidden="false" customHeight="false" outlineLevel="0" collapsed="false">
      <c r="A59" s="13" t="n">
        <f aca="false">A58+$F$3</f>
        <v>2120</v>
      </c>
      <c r="B59" s="20" t="n">
        <f aca="false">SUMPRODUCT(固有振動数!$Q$6:$Q$22*(1-($A59/固有振動数!$O$6:$O$22)^2)/((1-($A59/固有振動数!$O$6:$O$22)^2)^2+固有振動数!$P$6:$P$22^2))</f>
        <v>11.7690361742927</v>
      </c>
      <c r="C59" s="20" t="n">
        <f aca="false">-SUMPRODUCT(固有振動数!$Q$6:$Q$22*固有振動数!$P$6:$P$22/((1-($A59/固有振動数!$O$6:$O$22)^2)^2+固有振動数!$P$6:$P$22^2))</f>
        <v>-0.0103214218816544</v>
      </c>
      <c r="D59" s="20" t="n">
        <f aca="false">SQRT(B59^2+C59^2)</f>
        <v>11.7690407002253</v>
      </c>
      <c r="E59" s="32" t="n">
        <f aca="false">20*LOG10(MAX(D59,0.000000000001)/$K$3)</f>
        <v>21.4148212949697</v>
      </c>
    </row>
    <row r="60" customFormat="false" ht="15" hidden="false" customHeight="false" outlineLevel="0" collapsed="false">
      <c r="A60" s="13" t="n">
        <f aca="false">A59+$F$3</f>
        <v>2160</v>
      </c>
      <c r="B60" s="20" t="n">
        <f aca="false">SUMPRODUCT(固有振動数!$Q$6:$Q$22*(1-($A60/固有振動数!$O$6:$O$22)^2)/((1-($A60/固有振動数!$O$6:$O$22)^2)^2+固有振動数!$P$6:$P$22^2))</f>
        <v>12.9994427125603</v>
      </c>
      <c r="C60" s="20" t="n">
        <f aca="false">-SUMPRODUCT(固有振動数!$Q$6:$Q$22*固有振動数!$P$6:$P$22/((1-($A60/固有振動数!$O$6:$O$22)^2)^2+固有振動数!$P$6:$P$22^2))</f>
        <v>-0.00806061760609256</v>
      </c>
      <c r="D60" s="20" t="n">
        <f aca="false">SQRT(B60^2+C60^2)</f>
        <v>12.9994452116502</v>
      </c>
      <c r="E60" s="32" t="n">
        <f aca="false">20*LOG10(MAX(D60,0.000000000001)/$K$3)</f>
        <v>22.278496358967</v>
      </c>
    </row>
    <row r="61" customFormat="false" ht="15" hidden="false" customHeight="false" outlineLevel="0" collapsed="false">
      <c r="A61" s="13" t="n">
        <f aca="false">A60+$F$3</f>
        <v>2200</v>
      </c>
      <c r="B61" s="20" t="n">
        <f aca="false">SUMPRODUCT(固有振動数!$Q$6:$Q$22*(1-($A61/固有振動数!$O$6:$O$22)^2)/((1-($A61/固有振動数!$O$6:$O$22)^2)^2+固有振動数!$P$6:$P$22^2))</f>
        <v>13.8641476994008</v>
      </c>
      <c r="C61" s="20" t="n">
        <f aca="false">-SUMPRODUCT(固有振動数!$Q$6:$Q$22*固有振動数!$P$6:$P$22/((1-($A61/固有振動数!$O$6:$O$22)^2)^2+固有振動数!$P$6:$P$22^2))</f>
        <v>-0.00685776802597646</v>
      </c>
      <c r="D61" s="20" t="n">
        <f aca="false">SQRT(B61^2+C61^2)</f>
        <v>13.8641493954653</v>
      </c>
      <c r="E61" s="32" t="n">
        <f aca="false">20*LOG10(MAX(D61,0.000000000001)/$K$3)</f>
        <v>22.837864590881</v>
      </c>
    </row>
    <row r="62" customFormat="false" ht="15" hidden="false" customHeight="false" outlineLevel="0" collapsed="false">
      <c r="A62" s="13" t="n">
        <f aca="false">A61+$F$3</f>
        <v>2240</v>
      </c>
      <c r="B62" s="20" t="n">
        <f aca="false">SUMPRODUCT(固有振動数!$Q$6:$Q$22*(1-($A62/固有振動数!$O$6:$O$22)^2)/((1-($A62/固有振動数!$O$6:$O$22)^2)^2+固有振動数!$P$6:$P$22^2))</f>
        <v>14.5203378947592</v>
      </c>
      <c r="C62" s="20" t="n">
        <f aca="false">-SUMPRODUCT(固有振動数!$Q$6:$Q$22*固有振動数!$P$6:$P$22/((1-($A62/固有振動数!$O$6:$O$22)^2)^2+固有振動数!$P$6:$P$22^2))</f>
        <v>-0.00616602724795047</v>
      </c>
      <c r="D62" s="20" t="n">
        <f aca="false">SQRT(B62^2+C62^2)</f>
        <v>14.5203392039536</v>
      </c>
      <c r="E62" s="32" t="n">
        <f aca="false">20*LOG10(MAX(D62,0.000000000001)/$K$3)</f>
        <v>23.2395352373154</v>
      </c>
    </row>
    <row r="63" customFormat="false" ht="15" hidden="false" customHeight="false" outlineLevel="0" collapsed="false">
      <c r="A63" s="13" t="n">
        <f aca="false">A62+$F$3</f>
        <v>2280</v>
      </c>
      <c r="B63" s="20" t="n">
        <f aca="false">SUMPRODUCT(固有振動数!$Q$6:$Q$22*(1-($A63/固有振動数!$O$6:$O$22)^2)/((1-($A63/固有振動数!$O$6:$O$22)^2)^2+固有振動数!$P$6:$P$22^2))</f>
        <v>15.0486043942866</v>
      </c>
      <c r="C63" s="20" t="n">
        <f aca="false">-SUMPRODUCT(固有振動数!$Q$6:$Q$22*固有振動数!$P$6:$P$22/((1-($A63/固有振動数!$O$6:$O$22)^2)^2+固有振動数!$P$6:$P$22^2))</f>
        <v>-0.00575398590907304</v>
      </c>
      <c r="D63" s="20" t="n">
        <f aca="false">SQRT(B63^2+C63^2)</f>
        <v>15.0486054943339</v>
      </c>
      <c r="E63" s="32" t="n">
        <f aca="false">20*LOG10(MAX(D63,0.000000000001)/$K$3)</f>
        <v>23.5499251425499</v>
      </c>
    </row>
    <row r="64" customFormat="false" ht="15" hidden="false" customHeight="false" outlineLevel="0" collapsed="false">
      <c r="A64" s="13" t="n">
        <f aca="false">A63+$F$3</f>
        <v>2320</v>
      </c>
      <c r="B64" s="20" t="n">
        <f aca="false">SUMPRODUCT(固有振動数!$Q$6:$Q$22*(1-($A64/固有振動数!$O$6:$O$22)^2)/((1-($A64/固有振動数!$O$6:$O$22)^2)^2+固有振動数!$P$6:$P$22^2))</f>
        <v>15.4949455504993</v>
      </c>
      <c r="C64" s="20" t="n">
        <f aca="false">-SUMPRODUCT(固有振動数!$Q$6:$Q$22*固有振動数!$P$6:$P$22/((1-($A64/固有振動数!$O$6:$O$22)^2)^2+固有振動数!$P$6:$P$22^2))</f>
        <v>-0.00551108410666789</v>
      </c>
      <c r="D64" s="20" t="n">
        <f aca="false">SQRT(B64^2+C64^2)</f>
        <v>15.4949465305624</v>
      </c>
      <c r="E64" s="32" t="n">
        <f aca="false">20*LOG10(MAX(D64,0.000000000001)/$K$3)</f>
        <v>23.8038016385834</v>
      </c>
    </row>
    <row r="65" customFormat="false" ht="15" hidden="false" customHeight="false" outlineLevel="0" collapsed="false">
      <c r="A65" s="13" t="n">
        <f aca="false">A64+$F$3</f>
        <v>2360</v>
      </c>
      <c r="B65" s="20" t="n">
        <f aca="false">SUMPRODUCT(固有振動数!$Q$6:$Q$22*(1-($A65/固有振動数!$O$6:$O$22)^2)/((1-($A65/固有振動数!$O$6:$O$22)^2)^2+固有振動数!$P$6:$P$22^2))</f>
        <v>15.8879709351786</v>
      </c>
      <c r="C65" s="20" t="n">
        <f aca="false">-SUMPRODUCT(固有振動数!$Q$6:$Q$22*固有振動数!$P$6:$P$22/((1-($A65/固有振動数!$O$6:$O$22)^2)^2+固有振動数!$P$6:$P$22^2))</f>
        <v>-0.00538012755170492</v>
      </c>
      <c r="D65" s="20" t="n">
        <f aca="false">SQRT(B65^2+C65^2)</f>
        <v>15.8879718461122</v>
      </c>
      <c r="E65" s="32" t="n">
        <f aca="false">20*LOG10(MAX(D65,0.000000000001)/$K$3)</f>
        <v>24.0213692314237</v>
      </c>
    </row>
    <row r="66" customFormat="false" ht="15" hidden="false" customHeight="false" outlineLevel="0" collapsed="false">
      <c r="A66" s="13" t="n">
        <f aca="false">A65+$F$3</f>
        <v>2400</v>
      </c>
      <c r="B66" s="20" t="n">
        <f aca="false">SUMPRODUCT(固有振動数!$Q$6:$Q$22*(1-($A66/固有振動数!$O$6:$O$22)^2)/((1-($A66/固有振動数!$O$6:$O$22)^2)^2+固有振動数!$P$6:$P$22^2))</f>
        <v>16.246893907867</v>
      </c>
      <c r="C66" s="20" t="n">
        <f aca="false">-SUMPRODUCT(固有振動数!$Q$6:$Q$22*固有振動数!$P$6:$P$22/((1-($A66/固有振動数!$O$6:$O$22)^2)^2+固有振動数!$P$6:$P$22^2))</f>
        <v>-0.00533029737421079</v>
      </c>
      <c r="D66" s="20" t="n">
        <f aca="false">SQRT(B66^2+C66^2)</f>
        <v>16.2468947822517</v>
      </c>
      <c r="E66" s="32" t="n">
        <f aca="false">20*LOG10(MAX(D66,0.000000000001)/$K$3)</f>
        <v>24.2154073582366</v>
      </c>
    </row>
    <row r="67" customFormat="false" ht="15" hidden="false" customHeight="false" outlineLevel="0" collapsed="false">
      <c r="A67" s="13" t="n">
        <f aca="false">A66+$F$3</f>
        <v>2440</v>
      </c>
      <c r="B67" s="20" t="n">
        <f aca="false">SUMPRODUCT(固有振動数!$Q$6:$Q$22*(1-($A67/固有振動数!$O$6:$O$22)^2)/((1-($A67/固有振動数!$O$6:$O$22)^2)^2+固有振動数!$P$6:$P$22^2))</f>
        <v>16.5856403728181</v>
      </c>
      <c r="C67" s="20" t="n">
        <f aca="false">-SUMPRODUCT(固有振動数!$Q$6:$Q$22*固有振動数!$P$6:$P$22/((1-($A67/固有振動数!$O$6:$O$22)^2)^2+固有振動数!$P$6:$P$22^2))</f>
        <v>-0.00534523489474859</v>
      </c>
      <c r="D67" s="20" t="n">
        <f aca="false">SQRT(B67^2+C67^2)</f>
        <v>16.5856412341516</v>
      </c>
      <c r="E67" s="32" t="n">
        <f aca="false">20*LOG10(MAX(D67,0.000000000001)/$K$3)</f>
        <v>24.3946453375143</v>
      </c>
    </row>
    <row r="68" customFormat="false" ht="15" hidden="false" customHeight="false" outlineLevel="0" collapsed="false">
      <c r="A68" s="13" t="n">
        <f aca="false">A67+$F$3</f>
        <v>2480</v>
      </c>
      <c r="B68" s="20" t="n">
        <f aca="false">SUMPRODUCT(固有振動数!$Q$6:$Q$22*(1-($A68/固有振動数!$O$6:$O$22)^2)/((1-($A68/固有振動数!$O$6:$O$22)^2)^2+固有振動数!$P$6:$P$22^2))</f>
        <v>16.9151685105763</v>
      </c>
      <c r="C68" s="20" t="n">
        <f aca="false">-SUMPRODUCT(固有振動数!$Q$6:$Q$22*固有振動数!$P$6:$P$22/((1-($A68/固有振動数!$O$6:$O$22)^2)^2+固有振動数!$P$6:$P$22^2))</f>
        <v>-0.00541748512596969</v>
      </c>
      <c r="D68" s="20" t="n">
        <f aca="false">SQRT(B68^2+C68^2)</f>
        <v>16.9151693781156</v>
      </c>
      <c r="E68" s="32" t="n">
        <f aca="false">20*LOG10(MAX(D68,0.000000000001)/$K$3)</f>
        <v>24.5655270180787</v>
      </c>
    </row>
    <row r="69" customFormat="false" ht="15" hidden="false" customHeight="false" outlineLevel="0" collapsed="false">
      <c r="A69" s="13" t="n">
        <f aca="false">A68+$F$3</f>
        <v>2520</v>
      </c>
      <c r="B69" s="20" t="n">
        <f aca="false">SUMPRODUCT(固有振動数!$Q$6:$Q$22*(1-($A69/固有振動数!$O$6:$O$22)^2)/((1-($A69/固有振動数!$O$6:$O$22)^2)^2+固有振動数!$P$6:$P$22^2))</f>
        <v>17.24492343812</v>
      </c>
      <c r="C69" s="20" t="n">
        <f aca="false">-SUMPRODUCT(固有振動数!$Q$6:$Q$22*固有振動数!$P$6:$P$22/((1-($A69/固有振動数!$O$6:$O$22)^2)^2+固有振動数!$P$6:$P$22^2))</f>
        <v>-0.00554596923616521</v>
      </c>
      <c r="D69" s="20" t="n">
        <f aca="false">SQRT(B69^2+C69^2)</f>
        <v>17.2449243299121</v>
      </c>
      <c r="E69" s="32" t="n">
        <f aca="false">20*LOG10(MAX(D69,0.000000000001)/$K$3)</f>
        <v>24.7332258607905</v>
      </c>
    </row>
    <row r="70" customFormat="false" ht="15" hidden="false" customHeight="false" outlineLevel="0" collapsed="false">
      <c r="A70" s="13" t="n">
        <f aca="false">A69+$F$3</f>
        <v>2560</v>
      </c>
      <c r="B70" s="20" t="n">
        <f aca="false">SUMPRODUCT(固有振動数!$Q$6:$Q$22*(1-($A70/固有振動数!$O$6:$O$22)^2)/((1-($A70/固有振動数!$O$6:$O$22)^2)^2+固有振動数!$P$6:$P$22^2))</f>
        <v>17.5838842121191</v>
      </c>
      <c r="C70" s="20" t="n">
        <f aca="false">-SUMPRODUCT(固有振動数!$Q$6:$Q$22*固有振動数!$P$6:$P$22/((1-($A70/固有振動数!$O$6:$O$22)^2)^2+固有振動数!$P$6:$P$22^2))</f>
        <v>-0.00573515295908606</v>
      </c>
      <c r="D70" s="20" t="n">
        <f aca="false">SQRT(B70^2+C70^2)</f>
        <v>17.5838851474067</v>
      </c>
      <c r="E70" s="32" t="n">
        <f aca="false">20*LOG10(MAX(D70,0.000000000001)/$K$3)</f>
        <v>24.9022967681825</v>
      </c>
    </row>
    <row r="71" customFormat="false" ht="15" hidden="false" customHeight="false" outlineLevel="0" collapsed="false">
      <c r="A71" s="13" t="n">
        <f aca="false">A70+$F$3</f>
        <v>2600</v>
      </c>
      <c r="B71" s="20" t="n">
        <f aca="false">SUMPRODUCT(固有振動数!$Q$6:$Q$22*(1-($A71/固有振動数!$O$6:$O$22)^2)/((1-($A71/固有振動数!$O$6:$O$22)^2)^2+固有振動数!$P$6:$P$22^2))</f>
        <v>17.9414686215023</v>
      </c>
      <c r="C71" s="20" t="n">
        <f aca="false">-SUMPRODUCT(固有振動数!$Q$6:$Q$22*固有振動数!$P$6:$P$22/((1-($A71/固有振動数!$O$6:$O$22)^2)^2+固有振動数!$P$6:$P$22^2))</f>
        <v>-0.00599544693720264</v>
      </c>
      <c r="D71" s="20" t="n">
        <f aca="false">SQRT(B71^2+C71^2)</f>
        <v>17.9414696232426</v>
      </c>
      <c r="E71" s="32" t="n">
        <f aca="false">20*LOG10(MAX(D71,0.000000000001)/$K$3)</f>
        <v>25.0771602826608</v>
      </c>
    </row>
    <row r="72" customFormat="false" ht="15" hidden="false" customHeight="false" outlineLevel="0" collapsed="false">
      <c r="A72" s="13" t="n">
        <f aca="false">A71+$F$3</f>
        <v>2640</v>
      </c>
      <c r="B72" s="20" t="n">
        <f aca="false">SUMPRODUCT(固有振動数!$Q$6:$Q$22*(1-($A72/固有振動数!$O$6:$O$22)^2)/((1-($A72/固有振動数!$O$6:$O$22)^2)^2+固有振動数!$P$6:$P$22^2))</f>
        <v>18.328495607517</v>
      </c>
      <c r="C72" s="20" t="n">
        <f aca="false">-SUMPRODUCT(固有振動数!$Q$6:$Q$22*固有振動数!$P$6:$P$22/((1-($A72/固有振動数!$O$6:$O$22)^2)^2+固有振動数!$P$6:$P$22^2))</f>
        <v>-0.00634488027015447</v>
      </c>
      <c r="D72" s="20" t="n">
        <f aca="false">SQRT(B72^2+C72^2)</f>
        <v>18.3284967057387</v>
      </c>
      <c r="E72" s="32" t="n">
        <f aca="false">20*LOG10(MAX(D72,0.000000000001)/$K$3)</f>
        <v>25.2625369160739</v>
      </c>
    </row>
    <row r="73" customFormat="false" ht="15" hidden="false" customHeight="false" outlineLevel="0" collapsed="false">
      <c r="A73" s="13" t="n">
        <f aca="false">A72+$F$3</f>
        <v>2680</v>
      </c>
      <c r="B73" s="20" t="n">
        <f aca="false">SUMPRODUCT(固有振動数!$Q$6:$Q$22*(1-($A73/固有振動数!$O$6:$O$22)^2)/((1-($A73/固有振動数!$O$6:$O$22)^2)^2+固有振動数!$P$6:$P$22^2))</f>
        <v>18.7584193598461</v>
      </c>
      <c r="C73" s="20" t="n">
        <f aca="false">-SUMPRODUCT(固有振動数!$Q$6:$Q$22*固有振動数!$P$6:$P$22/((1-($A73/固有振動数!$O$6:$O$22)^2)^2+固有振動数!$P$6:$P$22^2))</f>
        <v>-0.00681257597535854</v>
      </c>
      <c r="D73" s="20" t="n">
        <f aca="false">SQRT(B73^2+C73^2)</f>
        <v>18.7584205969223</v>
      </c>
      <c r="E73" s="32" t="n">
        <f aca="false">20*LOG10(MAX(D73,0.000000000001)/$K$3)</f>
        <v>25.4639253856402</v>
      </c>
    </row>
    <row r="74" customFormat="false" ht="15" hidden="false" customHeight="false" outlineLevel="0" collapsed="false">
      <c r="A74" s="13" t="n">
        <f aca="false">A73+$F$3</f>
        <v>2720</v>
      </c>
      <c r="B74" s="20" t="n">
        <f aca="false">SUMPRODUCT(固有振動数!$Q$6:$Q$22*(1-($A74/固有振動数!$O$6:$O$22)^2)/((1-($A74/固有振動数!$O$6:$O$22)^2)^2+固有振動数!$P$6:$P$22^2))</f>
        <v>19.2491487694822</v>
      </c>
      <c r="C74" s="20" t="n">
        <f aca="false">-SUMPRODUCT(固有振動数!$Q$6:$Q$22*固有振動数!$P$6:$P$22/((1-($A74/固有振動数!$O$6:$O$22)^2)^2+固有振動数!$P$6:$P$22^2))</f>
        <v>-0.00744532751877972</v>
      </c>
      <c r="D74" s="20" t="n">
        <f aca="false">SQRT(B74^2+C74^2)</f>
        <v>19.2491502093615</v>
      </c>
      <c r="E74" s="32" t="n">
        <f aca="false">20*LOG10(MAX(D74,0.000000000001)/$K$3)</f>
        <v>25.6882312301045</v>
      </c>
    </row>
    <row r="75" customFormat="false" ht="15" hidden="false" customHeight="false" outlineLevel="0" collapsed="false">
      <c r="A75" s="13" t="n">
        <f aca="false">A74+$F$3</f>
        <v>2760</v>
      </c>
      <c r="B75" s="20" t="n">
        <f aca="false">SUMPRODUCT(固有振動数!$Q$6:$Q$22*(1-($A75/固有振動数!$O$6:$O$22)^2)/((1-($A75/固有振動数!$O$6:$O$22)^2)^2+固有振動数!$P$6:$P$22^2))</f>
        <v>19.8260118487376</v>
      </c>
      <c r="C75" s="20" t="n">
        <f aca="false">-SUMPRODUCT(固有振動数!$Q$6:$Q$22*固有振動数!$P$6:$P$22/((1-($A75/固有振動数!$O$6:$O$22)^2)^2+固有振動数!$P$6:$P$22^2))</f>
        <v>-0.00832016692616376</v>
      </c>
      <c r="D75" s="20" t="n">
        <f aca="false">SQRT(B75^2+C75^2)</f>
        <v>19.8260135945545</v>
      </c>
      <c r="E75" s="32" t="n">
        <f aca="false">20*LOG10(MAX(D75,0.000000000001)/$K$3)</f>
        <v>25.9447079927</v>
      </c>
    </row>
    <row r="76" customFormat="false" ht="15" hidden="false" customHeight="false" outlineLevel="0" collapsed="false">
      <c r="A76" s="13" t="n">
        <f aca="false">A75+$F$3</f>
        <v>2800</v>
      </c>
      <c r="B76" s="20" t="n">
        <f aca="false">SUMPRODUCT(固有振動数!$Q$6:$Q$22*(1-($A76/固有振動数!$O$6:$O$22)^2)/((1-($A76/固有振動数!$O$6:$O$22)^2)^2+固有振動数!$P$6:$P$22^2))</f>
        <v>20.526990949536</v>
      </c>
      <c r="C76" s="20" t="n">
        <f aca="false">-SUMPRODUCT(固有振動数!$Q$6:$Q$22*固有振動数!$P$6:$P$22/((1-($A76/固有振動数!$O$6:$O$22)^2)^2+固有振動数!$P$6:$P$22^2))</f>
        <v>-0.00956958096255348</v>
      </c>
      <c r="D76" s="20" t="n">
        <f aca="false">SQRT(B76^2+C76^2)</f>
        <v>20.5269931801813</v>
      </c>
      <c r="E76" s="32" t="n">
        <f aca="false">20*LOG10(MAX(D76,0.000000000001)/$K$3)</f>
        <v>26.2465067605326</v>
      </c>
    </row>
    <row r="77" customFormat="false" ht="15" hidden="false" customHeight="false" outlineLevel="0" collapsed="false">
      <c r="A77" s="13" t="n">
        <f aca="false">A76+$F$3</f>
        <v>2840</v>
      </c>
      <c r="B77" s="20" t="n">
        <f aca="false">SUMPRODUCT(固有振動数!$Q$6:$Q$22*(1-($A77/固有振動数!$O$6:$O$22)^2)/((1-($A77/固有振動数!$O$6:$O$22)^2)^2+固有振動数!$P$6:$P$22^2))</f>
        <v>21.412723137294</v>
      </c>
      <c r="C77" s="20" t="n">
        <f aca="false">-SUMPRODUCT(固有振動数!$Q$6:$Q$22*固有振動数!$P$6:$P$22/((1-($A77/固有振動数!$O$6:$O$22)^2)^2+固有振動数!$P$6:$P$22^2))</f>
        <v>-0.0114359484998133</v>
      </c>
      <c r="D77" s="20" t="n">
        <f aca="false">SQRT(B77^2+C77^2)</f>
        <v>21.4127261911071</v>
      </c>
      <c r="E77" s="32" t="n">
        <f aca="false">20*LOG10(MAX(D77,0.000000000001)/$K$3)</f>
        <v>26.6134392724482</v>
      </c>
    </row>
    <row r="78" customFormat="false" ht="15" hidden="false" customHeight="false" outlineLevel="0" collapsed="false">
      <c r="A78" s="13" t="n">
        <f aca="false">A77+$F$3</f>
        <v>2880</v>
      </c>
      <c r="B78" s="20" t="n">
        <f aca="false">SUMPRODUCT(固有振動数!$Q$6:$Q$22*(1-($A78/固有振動数!$O$6:$O$22)^2)/((1-($A78/固有振動数!$O$6:$O$22)^2)^2+固有振動数!$P$6:$P$22^2))</f>
        <v>22.5873883784421</v>
      </c>
      <c r="C78" s="20" t="n">
        <f aca="false">-SUMPRODUCT(固有振動数!$Q$6:$Q$22*固有振動数!$P$6:$P$22/((1-($A78/固有振動数!$O$6:$O$22)^2)^2+固有振動数!$P$6:$P$22^2))</f>
        <v>-0.0144011591803343</v>
      </c>
      <c r="D78" s="20" t="n">
        <f aca="false">SQRT(B78^2+C78^2)</f>
        <v>22.5873929693528</v>
      </c>
      <c r="E78" s="32" t="n">
        <f aca="false">20*LOG10(MAX(D78,0.000000000001)/$K$3)</f>
        <v>27.0773221532794</v>
      </c>
    </row>
    <row r="79" customFormat="false" ht="15" hidden="false" customHeight="false" outlineLevel="0" collapsed="false">
      <c r="A79" s="13" t="n">
        <f aca="false">A78+$F$3</f>
        <v>2920</v>
      </c>
      <c r="B79" s="20" t="n">
        <f aca="false">SUMPRODUCT(固有振動数!$Q$6:$Q$22*(1-($A79/固有振動数!$O$6:$O$22)^2)/((1-($A79/固有振動数!$O$6:$O$22)^2)^2+固有振動数!$P$6:$P$22^2))</f>
        <v>24.2475404065002</v>
      </c>
      <c r="C79" s="20" t="n">
        <f aca="false">-SUMPRODUCT(固有振動数!$Q$6:$Q$22*固有振動数!$P$6:$P$22/((1-($A79/固有振動数!$O$6:$O$22)^2)^2+固有振動数!$P$6:$P$22^2))</f>
        <v>-0.0195384844285755</v>
      </c>
      <c r="D79" s="20" t="n">
        <f aca="false">SQRT(B79^2+C79^2)</f>
        <v>24.2475482784803</v>
      </c>
      <c r="E79" s="32" t="n">
        <f aca="false">20*LOG10(MAX(D79,0.000000000001)/$K$3)</f>
        <v>27.6933566542659</v>
      </c>
    </row>
    <row r="80" customFormat="false" ht="15" hidden="false" customHeight="false" outlineLevel="0" collapsed="false">
      <c r="A80" s="13" t="n">
        <f aca="false">A79+$F$3</f>
        <v>2960</v>
      </c>
      <c r="B80" s="20" t="n">
        <f aca="false">SUMPRODUCT(固有振動数!$Q$6:$Q$22*(1-($A80/固有振動数!$O$6:$O$22)^2)/((1-($A80/固有振動数!$O$6:$O$22)^2)^2+固有振動数!$P$6:$P$22^2))</f>
        <v>26.815183524031</v>
      </c>
      <c r="C80" s="20" t="n">
        <f aca="false">-SUMPRODUCT(固有振動数!$Q$6:$Q$22*固有振動数!$P$6:$P$22/((1-($A80/固有振動数!$O$6:$O$22)^2)^2+固有振動数!$P$6:$P$22^2))</f>
        <v>-0.0296598421117053</v>
      </c>
      <c r="D80" s="20" t="n">
        <f aca="false">SQRT(B80^2+C80^2)</f>
        <v>26.8151999271625</v>
      </c>
      <c r="E80" s="32" t="n">
        <f aca="false">20*LOG10(MAX(D80,0.000000000001)/$K$3)</f>
        <v>28.5676207859592</v>
      </c>
    </row>
    <row r="81" customFormat="false" ht="15" hidden="false" customHeight="false" outlineLevel="0" collapsed="false">
      <c r="A81" s="13" t="n">
        <f aca="false">A80+$F$3</f>
        <v>3000</v>
      </c>
      <c r="B81" s="20" t="n">
        <f aca="false">SUMPRODUCT(固有振動数!$Q$6:$Q$22*(1-($A81/固有振動数!$O$6:$O$22)^2)/((1-($A81/固有振動数!$O$6:$O$22)^2)^2+固有振動数!$P$6:$P$22^2))</f>
        <v>31.3933498513054</v>
      </c>
      <c r="C81" s="20" t="n">
        <f aca="false">-SUMPRODUCT(固有振動数!$Q$6:$Q$22*固有振動数!$P$6:$P$22/((1-($A81/固有振動数!$O$6:$O$22)^2)^2+固有振動数!$P$6:$P$22^2))</f>
        <v>-0.0542534646056255</v>
      </c>
      <c r="D81" s="20" t="n">
        <f aca="false">SQRT(B81^2+C81^2)</f>
        <v>31.3933967312376</v>
      </c>
      <c r="E81" s="32" t="n">
        <f aca="false">20*LOG10(MAX(D81,0.000000000001)/$K$3)</f>
        <v>29.9367661686193</v>
      </c>
    </row>
    <row r="82" customFormat="false" ht="15" hidden="false" customHeight="false" outlineLevel="0" collapsed="false">
      <c r="A82" s="13" t="n">
        <f aca="false">A81+$F$3</f>
        <v>3040</v>
      </c>
      <c r="B82" s="20" t="n">
        <f aca="false">SUMPRODUCT(固有振動数!$Q$6:$Q$22*(1-($A82/固有振動数!$O$6:$O$22)^2)/((1-($A82/固有振動数!$O$6:$O$22)^2)^2+固有振動数!$P$6:$P$22^2))</f>
        <v>42.0742653493528</v>
      </c>
      <c r="C82" s="20" t="n">
        <f aca="false">-SUMPRODUCT(固有振動数!$Q$6:$Q$22*固有振動数!$P$6:$P$22/((1-($A82/固有振動数!$O$6:$O$22)^2)^2+固有振動数!$P$6:$P$22^2))</f>
        <v>-0.144231880782762</v>
      </c>
      <c r="D82" s="20" t="n">
        <f aca="false">SQRT(B82^2+C82^2)</f>
        <v>42.074512564297</v>
      </c>
      <c r="E82" s="32" t="n">
        <f aca="false">20*LOG10(MAX(D82,0.000000000001)/$K$3)</f>
        <v>32.4803818669977</v>
      </c>
    </row>
    <row r="83" customFormat="false" ht="15" hidden="false" customHeight="false" outlineLevel="0" collapsed="false">
      <c r="A83" s="13" t="n">
        <f aca="false">A82+$F$3</f>
        <v>3080</v>
      </c>
      <c r="B83" s="20" t="n">
        <f aca="false">SUMPRODUCT(固有振動数!$Q$6:$Q$22*(1-($A83/固有振動数!$O$6:$O$22)^2)/((1-($A83/固有振動数!$O$6:$O$22)^2)^2+固有振動数!$P$6:$P$22^2))</f>
        <v>97.3698520940294</v>
      </c>
      <c r="C83" s="20" t="n">
        <f aca="false">-SUMPRODUCT(固有振動数!$Q$6:$Q$22*固有振動数!$P$6:$P$22/((1-($A83/固有振動数!$O$6:$O$22)^2)^2+固有振動数!$P$6:$P$22^2))</f>
        <v>-1.34002819122208</v>
      </c>
      <c r="D83" s="20" t="n">
        <f aca="false">SQRT(B83^2+C83^2)</f>
        <v>97.3790725585658</v>
      </c>
      <c r="E83" s="32" t="n">
        <f aca="false">20*LOG10(MAX(D83,0.000000000001)/$K$3)</f>
        <v>39.7693126798978</v>
      </c>
    </row>
    <row r="84" customFormat="false" ht="15" hidden="false" customHeight="false" outlineLevel="0" collapsed="false">
      <c r="A84" s="13" t="n">
        <f aca="false">A83+$F$3</f>
        <v>3120</v>
      </c>
      <c r="B84" s="20" t="n">
        <f aca="false">SUMPRODUCT(固有振動数!$Q$6:$Q$22*(1-($A84/固有振動数!$O$6:$O$22)^2)/((1-($A84/固有振動数!$O$6:$O$22)^2)^2+固有振動数!$P$6:$P$22^2))</f>
        <v>-57.8502680821307</v>
      </c>
      <c r="C84" s="20" t="n">
        <f aca="false">-SUMPRODUCT(固有振動数!$Q$6:$Q$22*固有振動数!$P$6:$P$22/((1-($A84/固有振動数!$O$6:$O$22)^2)^2+固有振動数!$P$6:$P$22^2))</f>
        <v>-1.08624999437489</v>
      </c>
      <c r="D84" s="20" t="n">
        <f aca="false">SQRT(B84^2+C84^2)</f>
        <v>57.8604653993093</v>
      </c>
      <c r="E84" s="32" t="n">
        <f aca="false">20*LOG10(MAX(D84,0.000000000001)/$K$3)</f>
        <v>35.2476384512718</v>
      </c>
    </row>
    <row r="85" customFormat="false" ht="15" hidden="false" customHeight="false" outlineLevel="0" collapsed="false">
      <c r="A85" s="13" t="n">
        <f aca="false">A84+$F$3</f>
        <v>3160</v>
      </c>
      <c r="B85" s="20" t="n">
        <f aca="false">SUMPRODUCT(固有振動数!$Q$6:$Q$22*(1-($A85/固有振動数!$O$6:$O$22)^2)/((1-($A85/固有振動数!$O$6:$O$22)^2)^2+固有振動数!$P$6:$P$22^2))</f>
        <v>-9.37294772400529</v>
      </c>
      <c r="C85" s="20" t="n">
        <f aca="false">-SUMPRODUCT(固有振動数!$Q$6:$Q$22*固有振動数!$P$6:$P$22/((1-($A85/固有振動数!$O$6:$O$22)^2)^2+固有振動数!$P$6:$P$22^2))</f>
        <v>-0.130324501591922</v>
      </c>
      <c r="D85" s="20" t="n">
        <f aca="false">SQRT(B85^2+C85^2)</f>
        <v>9.3738537172633</v>
      </c>
      <c r="E85" s="32" t="n">
        <f aca="false">20*LOG10(MAX(D85,0.000000000001)/$K$3)</f>
        <v>19.4383634379594</v>
      </c>
    </row>
    <row r="86" customFormat="false" ht="15" hidden="false" customHeight="false" outlineLevel="0" collapsed="false">
      <c r="A86" s="13" t="n">
        <f aca="false">A85+$F$3</f>
        <v>3200</v>
      </c>
      <c r="B86" s="20" t="n">
        <f aca="false">SUMPRODUCT(固有振動数!$Q$6:$Q$22*(1-($A86/固有振動数!$O$6:$O$22)^2)/((1-($A86/固有振動数!$O$6:$O$22)^2)^2+固有振動数!$P$6:$P$22^2))</f>
        <v>0.760780330313268</v>
      </c>
      <c r="C86" s="20" t="n">
        <f aca="false">-SUMPRODUCT(固有振動数!$Q$6:$Q$22*固有振動数!$P$6:$P$22/((1-($A86/固有振動数!$O$6:$O$22)^2)^2+固有振動数!$P$6:$P$22^2))</f>
        <v>-0.0493376502976116</v>
      </c>
      <c r="D86" s="20" t="n">
        <f aca="false">SQRT(B86^2+C86^2)</f>
        <v>0.762378458987696</v>
      </c>
      <c r="E86" s="32" t="n">
        <f aca="false">20*LOG10(MAX(D86,0.000000000001)/$K$3)</f>
        <v>-2.35658766384113</v>
      </c>
    </row>
    <row r="87" customFormat="false" ht="15" hidden="false" customHeight="false" outlineLevel="0" collapsed="false">
      <c r="A87" s="13" t="n">
        <f aca="false">A86+$F$3</f>
        <v>3240</v>
      </c>
      <c r="B87" s="20" t="n">
        <f aca="false">SUMPRODUCT(固有振動数!$Q$6:$Q$22*(1-($A87/固有振動数!$O$6:$O$22)^2)/((1-($A87/固有振動数!$O$6:$O$22)^2)^2+固有振動数!$P$6:$P$22^2))</f>
        <v>5.18473195722561</v>
      </c>
      <c r="C87" s="20" t="n">
        <f aca="false">-SUMPRODUCT(固有振動数!$Q$6:$Q$22*固有振動数!$P$6:$P$22/((1-($A87/固有振動数!$O$6:$O$22)^2)^2+固有振動数!$P$6:$P$22^2))</f>
        <v>-0.02686816189497</v>
      </c>
      <c r="D87" s="20" t="n">
        <f aca="false">SQRT(B87^2+C87^2)</f>
        <v>5.18480157444816</v>
      </c>
      <c r="E87" s="32" t="n">
        <f aca="false">20*LOG10(MAX(D87,0.000000000001)/$K$3)</f>
        <v>14.294642806512</v>
      </c>
    </row>
    <row r="88" customFormat="false" ht="15" hidden="false" customHeight="false" outlineLevel="0" collapsed="false">
      <c r="A88" s="13" t="n">
        <f aca="false">A87+$F$3</f>
        <v>3280</v>
      </c>
      <c r="B88" s="20" t="n">
        <f aca="false">SUMPRODUCT(固有振動数!$Q$6:$Q$22*(1-($A88/固有振動数!$O$6:$O$22)^2)/((1-($A88/固有振動数!$O$6:$O$22)^2)^2+固有振動数!$P$6:$P$22^2))</f>
        <v>7.68474952420881</v>
      </c>
      <c r="C88" s="20" t="n">
        <f aca="false">-SUMPRODUCT(固有振動数!$Q$6:$Q$22*固有振動数!$P$6:$P$22/((1-($A88/固有振動数!$O$6:$O$22)^2)^2+固有振動数!$P$6:$P$22^2))</f>
        <v>-0.0176365585396056</v>
      </c>
      <c r="D88" s="20" t="n">
        <f aca="false">SQRT(B88^2+C88^2)</f>
        <v>7.68476976220008</v>
      </c>
      <c r="E88" s="32" t="n">
        <f aca="false">20*LOG10(MAX(D88,0.000000000001)/$K$3)</f>
        <v>17.7126172089888</v>
      </c>
    </row>
    <row r="89" customFormat="false" ht="15" hidden="false" customHeight="false" outlineLevel="0" collapsed="false">
      <c r="A89" s="13" t="n">
        <f aca="false">A88+$F$3</f>
        <v>3320</v>
      </c>
      <c r="B89" s="20" t="n">
        <f aca="false">SUMPRODUCT(固有振動数!$Q$6:$Q$22*(1-($A89/固有振動数!$O$6:$O$22)^2)/((1-($A89/固有振動数!$O$6:$O$22)^2)^2+固有振動数!$P$6:$P$22^2))</f>
        <v>9.30584088026699</v>
      </c>
      <c r="C89" s="20" t="n">
        <f aca="false">-SUMPRODUCT(固有振動数!$Q$6:$Q$22*固有振動数!$P$6:$P$22/((1-($A89/固有振動数!$O$6:$O$22)^2)^2+固有振動数!$P$6:$P$22^2))</f>
        <v>-0.0129902558474499</v>
      </c>
      <c r="D89" s="20" t="n">
        <f aca="false">SQRT(B89^2+C89^2)</f>
        <v>9.30584994697396</v>
      </c>
      <c r="E89" s="32" t="n">
        <f aca="false">20*LOG10(MAX(D89,0.000000000001)/$K$3)</f>
        <v>19.3751209086546</v>
      </c>
    </row>
    <row r="90" customFormat="false" ht="15" hidden="false" customHeight="false" outlineLevel="0" collapsed="false">
      <c r="A90" s="13" t="n">
        <f aca="false">A89+$F$3</f>
        <v>3360</v>
      </c>
      <c r="B90" s="20" t="n">
        <f aca="false">SUMPRODUCT(固有振動数!$Q$6:$Q$22*(1-($A90/固有振動数!$O$6:$O$22)^2)/((1-($A90/固有振動数!$O$6:$O$22)^2)^2+固有振動数!$P$6:$P$22^2))</f>
        <v>10.4524895964374</v>
      </c>
      <c r="C90" s="20" t="n">
        <f aca="false">-SUMPRODUCT(固有振動数!$Q$6:$Q$22*固有振動数!$P$6:$P$22/((1-($A90/固有振動数!$O$6:$O$22)^2)^2+固有振動数!$P$6:$P$22^2))</f>
        <v>-0.0103417641029707</v>
      </c>
      <c r="D90" s="20" t="n">
        <f aca="false">SQRT(B90^2+C90^2)</f>
        <v>10.4524947125419</v>
      </c>
      <c r="E90" s="32" t="n">
        <f aca="false">20*LOG10(MAX(D90,0.000000000001)/$K$3)</f>
        <v>20.38439913064</v>
      </c>
    </row>
    <row r="91" customFormat="false" ht="15" hidden="false" customHeight="false" outlineLevel="0" collapsed="false">
      <c r="A91" s="13" t="n">
        <f aca="false">A90+$F$3</f>
        <v>3400</v>
      </c>
      <c r="B91" s="20" t="n">
        <f aca="false">SUMPRODUCT(固有振動数!$Q$6:$Q$22*(1-($A91/固有振動数!$O$6:$O$22)^2)/((1-($A91/固有振動数!$O$6:$O$22)^2)^2+固有振動数!$P$6:$P$22^2))</f>
        <v>11.3142613891672</v>
      </c>
      <c r="C91" s="20" t="n">
        <f aca="false">-SUMPRODUCT(固有振動数!$Q$6:$Q$22*固有振動数!$P$6:$P$22/((1-($A91/固有振動数!$O$6:$O$22)^2)^2+固有振動数!$P$6:$P$22^2))</f>
        <v>-0.00870036786200432</v>
      </c>
      <c r="D91" s="20" t="n">
        <f aca="false">SQRT(B91^2+C91^2)</f>
        <v>11.3142647343431</v>
      </c>
      <c r="E91" s="32" t="n">
        <f aca="false">20*LOG10(MAX(D91,0.000000000001)/$K$3)</f>
        <v>21.0725267253501</v>
      </c>
    </row>
    <row r="92" customFormat="false" ht="15" hidden="false" customHeight="false" outlineLevel="0" collapsed="false">
      <c r="A92" s="13" t="n">
        <f aca="false">A91+$F$3</f>
        <v>3440</v>
      </c>
      <c r="B92" s="20" t="n">
        <f aca="false">SUMPRODUCT(固有振動数!$Q$6:$Q$22*(1-($A92/固有振動数!$O$6:$O$22)^2)/((1-($A92/固有振動数!$O$6:$O$22)^2)^2+固有振動数!$P$6:$P$22^2))</f>
        <v>11.991857631886</v>
      </c>
      <c r="C92" s="20" t="n">
        <f aca="false">-SUMPRODUCT(固有振動数!$Q$6:$Q$22*固有振動数!$P$6:$P$22/((1-($A92/固有振動数!$O$6:$O$22)^2)^2+固有振動数!$P$6:$P$22^2))</f>
        <v>-0.00762101836888032</v>
      </c>
      <c r="D92" s="20" t="n">
        <f aca="false">SQRT(B92^2+C92^2)</f>
        <v>11.9918600535256</v>
      </c>
      <c r="E92" s="32" t="n">
        <f aca="false">20*LOG10(MAX(D92,0.000000000001)/$K$3)</f>
        <v>21.5777310320009</v>
      </c>
    </row>
    <row r="93" customFormat="false" ht="15" hidden="false" customHeight="false" outlineLevel="0" collapsed="false">
      <c r="A93" s="13" t="n">
        <f aca="false">A92+$F$3</f>
        <v>3480</v>
      </c>
      <c r="B93" s="20" t="n">
        <f aca="false">SUMPRODUCT(固有振動数!$Q$6:$Q$22*(1-($A93/固有振動数!$O$6:$O$22)^2)/((1-($A93/固有振動数!$O$6:$O$22)^2)^2+固有振動数!$P$6:$P$22^2))</f>
        <v>12.5437644434557</v>
      </c>
      <c r="C93" s="20" t="n">
        <f aca="false">-SUMPRODUCT(固有振動数!$Q$6:$Q$22*固有振動数!$P$6:$P$22/((1-($A93/固有振動数!$O$6:$O$22)^2)^2+固有振動数!$P$6:$P$22^2))</f>
        <v>-0.00687995061070858</v>
      </c>
      <c r="D93" s="20" t="n">
        <f aca="false">SQRT(B93^2+C93^2)</f>
        <v>12.5437663301986</v>
      </c>
      <c r="E93" s="32" t="n">
        <f aca="false">20*LOG10(MAX(D93,0.000000000001)/$K$3)</f>
        <v>21.9685591044307</v>
      </c>
    </row>
    <row r="94" customFormat="false" ht="15" hidden="false" customHeight="false" outlineLevel="0" collapsed="false">
      <c r="A94" s="13" t="n">
        <f aca="false">A93+$F$3</f>
        <v>3520</v>
      </c>
      <c r="B94" s="20" t="n">
        <f aca="false">SUMPRODUCT(固有振動数!$Q$6:$Q$22*(1-($A94/固有振動数!$O$6:$O$22)^2)/((1-($A94/固有振動数!$O$6:$O$22)^2)^2+固有振動数!$P$6:$P$22^2))</f>
        <v>13.0063089479955</v>
      </c>
      <c r="C94" s="20" t="n">
        <f aca="false">-SUMPRODUCT(固有振動数!$Q$6:$Q$22*固有振動数!$P$6:$P$22/((1-($A94/固有振動数!$O$6:$O$22)^2)^2+固有振動数!$P$6:$P$22^2))</f>
        <v>-0.00635480311510194</v>
      </c>
      <c r="D94" s="20" t="n">
        <f aca="false">SQRT(B94^2+C94^2)</f>
        <v>13.0063105004544</v>
      </c>
      <c r="E94" s="32" t="n">
        <f aca="false">20*LOG10(MAX(D94,0.000000000001)/$K$3)</f>
        <v>22.2830823546929</v>
      </c>
    </row>
    <row r="95" customFormat="false" ht="15" hidden="false" customHeight="false" outlineLevel="0" collapsed="false">
      <c r="A95" s="13" t="n">
        <f aca="false">A94+$F$3</f>
        <v>3560</v>
      </c>
      <c r="B95" s="20" t="n">
        <f aca="false">SUMPRODUCT(固有振動数!$Q$6:$Q$22*(1-($A95/固有振動数!$O$6:$O$22)^2)/((1-($A95/固有振動数!$O$6:$O$22)^2)^2+固有振動数!$P$6:$P$22^2))</f>
        <v>13.403274834</v>
      </c>
      <c r="C95" s="20" t="n">
        <f aca="false">-SUMPRODUCT(固有振動数!$Q$6:$Q$22*固有振動数!$P$6:$P$22/((1-($A95/固有振動数!$O$6:$O$22)^2)^2+固有振動数!$P$6:$P$22^2))</f>
        <v>-0.00597416926555444</v>
      </c>
      <c r="D95" s="20" t="n">
        <f aca="false">SQRT(B95^2+C95^2)</f>
        <v>13.4032761654171</v>
      </c>
      <c r="E95" s="32" t="n">
        <f aca="false">20*LOG10(MAX(D95,0.000000000001)/$K$3)</f>
        <v>22.5442193205172</v>
      </c>
    </row>
    <row r="96" customFormat="false" ht="15" hidden="false" customHeight="false" outlineLevel="0" collapsed="false">
      <c r="A96" s="13" t="n">
        <f aca="false">A95+$F$3</f>
        <v>3600</v>
      </c>
      <c r="B96" s="20" t="n">
        <f aca="false">SUMPRODUCT(固有振動数!$Q$6:$Q$22*(1-($A96/固有振動数!$O$6:$O$22)^2)/((1-($A96/固有振動数!$O$6:$O$22)^2)^2+固有振動数!$P$6:$P$22^2))</f>
        <v>13.7509124510725</v>
      </c>
      <c r="C96" s="20" t="n">
        <f aca="false">-SUMPRODUCT(固有振動数!$Q$6:$Q$22*固有振動数!$P$6:$P$22/((1-($A96/固有振動数!$O$6:$O$22)^2)^2+固有振動数!$P$6:$P$22^2))</f>
        <v>-0.00569416584195653</v>
      </c>
      <c r="D96" s="20" t="n">
        <f aca="false">SQRT(B96^2+C96^2)</f>
        <v>13.7509136300315</v>
      </c>
      <c r="E96" s="32" t="n">
        <f aca="false">20*LOG10(MAX(D96,0.000000000001)/$K$3)</f>
        <v>22.7666310852157</v>
      </c>
    </row>
    <row r="97" customFormat="false" ht="15" hidden="false" customHeight="false" outlineLevel="0" collapsed="false">
      <c r="A97" s="13" t="n">
        <f aca="false">A96+$F$3</f>
        <v>3640</v>
      </c>
      <c r="B97" s="20" t="n">
        <f aca="false">SUMPRODUCT(固有振動数!$Q$6:$Q$22*(1-($A97/固有振動数!$O$6:$O$22)^2)/((1-($A97/固有振動数!$O$6:$O$22)^2)^2+固有振動数!$P$6:$P$22^2))</f>
        <v>14.0607271194229</v>
      </c>
      <c r="C97" s="20" t="n">
        <f aca="false">-SUMPRODUCT(固有振動数!$Q$6:$Q$22*固有振動数!$P$6:$P$22/((1-($A97/固有振動数!$O$6:$O$22)^2)^2+固有振動数!$P$6:$P$22^2))</f>
        <v>-0.00548667020818778</v>
      </c>
      <c r="D97" s="20" t="n">
        <f aca="false">SQRT(B97^2+C97^2)</f>
        <v>14.0607281899063</v>
      </c>
      <c r="E97" s="32" t="n">
        <f aca="false">20*LOG10(MAX(D97,0.000000000001)/$K$3)</f>
        <v>22.9601562581552</v>
      </c>
    </row>
    <row r="98" customFormat="false" ht="15" hidden="false" customHeight="false" outlineLevel="0" collapsed="false">
      <c r="A98" s="13" t="n">
        <f aca="false">A97+$F$3</f>
        <v>3680</v>
      </c>
      <c r="B98" s="20" t="n">
        <f aca="false">SUMPRODUCT(固有振動数!$Q$6:$Q$22*(1-($A98/固有振動数!$O$6:$O$22)^2)/((1-($A98/固有振動数!$O$6:$O$22)^2)^2+固有振動数!$P$6:$P$22^2))</f>
        <v>14.341116461012</v>
      </c>
      <c r="C98" s="20" t="n">
        <f aca="false">-SUMPRODUCT(固有振動数!$Q$6:$Q$22*固有振動数!$P$6:$P$22/((1-($A98/固有振動数!$O$6:$O$22)^2)^2+固有振動数!$P$6:$P$22^2))</f>
        <v>-0.00533303166430545</v>
      </c>
      <c r="D98" s="20" t="n">
        <f aca="false">SQRT(B98^2+C98^2)</f>
        <v>14.3411174526093</v>
      </c>
      <c r="E98" s="32" t="n">
        <f aca="false">20*LOG10(MAX(D98,0.000000000001)/$K$3)</f>
        <v>23.1316598531269</v>
      </c>
    </row>
    <row r="99" customFormat="false" ht="15" hidden="false" customHeight="false" outlineLevel="0" collapsed="false">
      <c r="A99" s="13" t="n">
        <f aca="false">A98+$F$3</f>
        <v>3720</v>
      </c>
      <c r="B99" s="20" t="n">
        <f aca="false">SUMPRODUCT(固有振動数!$Q$6:$Q$22*(1-($A99/固有振動数!$O$6:$O$22)^2)/((1-($A99/固有振動数!$O$6:$O$22)^2)^2+固有振動数!$P$6:$P$22^2))</f>
        <v>14.5983757899271</v>
      </c>
      <c r="C99" s="20" t="n">
        <f aca="false">-SUMPRODUCT(固有振動数!$Q$6:$Q$22*固有振動数!$P$6:$P$22/((1-($A99/固有振動数!$O$6:$O$22)^2)^2+固有振動数!$P$6:$P$22^2))</f>
        <v>-0.0052205299419967</v>
      </c>
      <c r="D99" s="20" t="n">
        <f aca="false">SQRT(B99^2+C99^2)</f>
        <v>14.5983767233847</v>
      </c>
      <c r="E99" s="32" t="n">
        <f aca="false">20*LOG10(MAX(D99,0.000000000001)/$K$3)</f>
        <v>23.2860913358661</v>
      </c>
    </row>
    <row r="100" customFormat="false" ht="15" hidden="false" customHeight="false" outlineLevel="0" collapsed="false">
      <c r="A100" s="13" t="n">
        <f aca="false">A99+$F$3</f>
        <v>3760</v>
      </c>
      <c r="B100" s="20" t="n">
        <f aca="false">SUMPRODUCT(固有振動数!$Q$6:$Q$22*(1-($A100/固有振動数!$O$6:$O$22)^2)/((1-($A100/固有振動数!$O$6:$O$22)^2)^2+固有振動数!$P$6:$P$22^2))</f>
        <v>14.8373393458333</v>
      </c>
      <c r="C100" s="20" t="n">
        <f aca="false">-SUMPRODUCT(固有振動数!$Q$6:$Q$22*固有振動数!$P$6:$P$22/((1-($A100/固有振動数!$O$6:$O$22)^2)^2+固有振動数!$P$6:$P$22^2))</f>
        <v>-0.00514029188368353</v>
      </c>
      <c r="D100" s="20" t="n">
        <f aca="false">SQRT(B100^2+C100^2)</f>
        <v>14.8373402362423</v>
      </c>
      <c r="E100" s="32" t="n">
        <f aca="false">20*LOG10(MAX(D100,0.000000000001)/$K$3)</f>
        <v>23.4271211128611</v>
      </c>
    </row>
    <row r="101" customFormat="false" ht="15" hidden="false" customHeight="false" outlineLevel="0" collapsed="false">
      <c r="A101" s="13" t="n">
        <f aca="false">A100+$F$3</f>
        <v>3800</v>
      </c>
      <c r="B101" s="20" t="n">
        <f aca="false">SUMPRODUCT(固有振動数!$Q$6:$Q$22*(1-($A101/固有振動数!$O$6:$O$22)^2)/((1-($A101/固有振動数!$O$6:$O$22)^2)^2+固有振動数!$P$6:$P$22^2))</f>
        <v>15.0618029375476</v>
      </c>
      <c r="C101" s="20" t="n">
        <f aca="false">-SUMPRODUCT(固有振動数!$Q$6:$Q$22*固有振動数!$P$6:$P$22/((1-($A101/固有振動数!$O$6:$O$22)^2)^2+固有振動数!$P$6:$P$22^2))</f>
        <v>-0.00508601984308374</v>
      </c>
      <c r="D101" s="20" t="n">
        <f aca="false">SQRT(B101^2+C101^2)</f>
        <v>15.0618037962627</v>
      </c>
      <c r="E101" s="32" t="n">
        <f aca="false">20*LOG10(MAX(D101,0.000000000001)/$K$3)</f>
        <v>23.5575397186388</v>
      </c>
    </row>
    <row r="102" customFormat="false" ht="15" hidden="false" customHeight="false" outlineLevel="0" collapsed="false">
      <c r="A102" s="13" t="n">
        <f aca="false">A101+$F$3</f>
        <v>3840</v>
      </c>
      <c r="B102" s="20" t="n">
        <f aca="false">SUMPRODUCT(固有振動数!$Q$6:$Q$22*(1-($A102/固有振動数!$O$6:$O$22)^2)/((1-($A102/固有振動数!$O$6:$O$22)^2)^2+固有振動数!$P$6:$P$22^2))</f>
        <v>15.2748107286642</v>
      </c>
      <c r="C102" s="20" t="n">
        <f aca="false">-SUMPRODUCT(固有振動数!$Q$6:$Q$22*固有振動数!$P$6:$P$22/((1-($A102/固有振動数!$O$6:$O$22)^2)^2+固有振動数!$P$6:$P$22^2))</f>
        <v>-0.00505319087464286</v>
      </c>
      <c r="D102" s="20" t="n">
        <f aca="false">SQRT(B102^2+C102^2)</f>
        <v>15.2748115645089</v>
      </c>
      <c r="E102" s="32" t="n">
        <f aca="false">20*LOG10(MAX(D102,0.000000000001)/$K$3)</f>
        <v>23.6795172267386</v>
      </c>
    </row>
    <row r="103" customFormat="false" ht="15" hidden="false" customHeight="false" outlineLevel="0" collapsed="false">
      <c r="A103" s="13" t="n">
        <f aca="false">A102+$F$3</f>
        <v>3880</v>
      </c>
      <c r="B103" s="20" t="n">
        <f aca="false">SUMPRODUCT(固有振動数!$Q$6:$Q$22*(1-($A103/固有振動数!$O$6:$O$22)^2)/((1-($A103/固有振動数!$O$6:$O$22)^2)^2+固有振動数!$P$6:$P$22^2))</f>
        <v>15.4788550316179</v>
      </c>
      <c r="C103" s="20" t="n">
        <f aca="false">-SUMPRODUCT(固有振動数!$Q$6:$Q$22*固有振動数!$P$6:$P$22/((1-($A103/固有振動数!$O$6:$O$22)^2)^2+固有振動数!$P$6:$P$22^2))</f>
        <v>-0.00503853899865477</v>
      </c>
      <c r="D103" s="20" t="n">
        <f aca="false">SQRT(B103^2+C103^2)</f>
        <v>15.478855851668</v>
      </c>
      <c r="E103" s="32" t="n">
        <f aca="false">20*LOG10(MAX(D103,0.000000000001)/$K$3)</f>
        <v>23.7947771170264</v>
      </c>
    </row>
    <row r="104" customFormat="false" ht="15" hidden="false" customHeight="false" outlineLevel="0" collapsed="false">
      <c r="A104" s="13" t="n">
        <f aca="false">A103+$F$3</f>
        <v>3920</v>
      </c>
      <c r="B104" s="20" t="n">
        <f aca="false">SUMPRODUCT(固有振動数!$Q$6:$Q$22*(1-($A104/固有振動数!$O$6:$O$22)^2)/((1-($A104/固有振動数!$O$6:$O$22)^2)^2+固有振動数!$P$6:$P$22^2))</f>
        <v>15.6760189678602</v>
      </c>
      <c r="C104" s="20" t="n">
        <f aca="false">-SUMPRODUCT(固有振動数!$Q$6:$Q$22*固有振動数!$P$6:$P$22/((1-($A104/固有振動数!$O$6:$O$22)^2)^2+固有振動数!$P$6:$P$22^2))</f>
        <v>-0.00503971327934804</v>
      </c>
      <c r="D104" s="20" t="n">
        <f aca="false">SQRT(B104^2+C104^2)</f>
        <v>15.6760197779737</v>
      </c>
      <c r="E104" s="32" t="n">
        <f aca="false">20*LOG10(MAX(D104,0.000000000001)/$K$3)</f>
        <v>23.90471605486</v>
      </c>
    </row>
    <row r="105" customFormat="false" ht="15" hidden="false" customHeight="false" outlineLevel="0" collapsed="false">
      <c r="A105" s="13" t="n">
        <f aca="false">A104+$F$3</f>
        <v>3960</v>
      </c>
      <c r="B105" s="20" t="n">
        <f aca="false">SUMPRODUCT(固有振動数!$Q$6:$Q$22*(1-($A105/固有振動数!$O$6:$O$22)^2)/((1-($A105/固有振動数!$O$6:$O$22)^2)^2+固有振動数!$P$6:$P$22^2))</f>
        <v>15.86808079987</v>
      </c>
      <c r="C105" s="20" t="n">
        <f aca="false">-SUMPRODUCT(固有振動数!$Q$6:$Q$22*固有振動数!$P$6:$P$22/((1-($A105/固有振動数!$O$6:$O$22)^2)^2+固有振動数!$P$6:$P$22^2))</f>
        <v>-0.005055048433122</v>
      </c>
      <c r="D105" s="20" t="n">
        <f aca="false">SQRT(B105^2+C105^2)</f>
        <v>15.868081605056</v>
      </c>
      <c r="E105" s="32" t="n">
        <f aca="false">20*LOG10(MAX(D105,0.000000000001)/$K$3)</f>
        <v>24.010488505231</v>
      </c>
    </row>
    <row r="106" customFormat="false" ht="15" hidden="false" customHeight="false" outlineLevel="0" collapsed="false">
      <c r="A106" s="13" t="n">
        <f aca="false">A105+$F$3</f>
        <v>4000</v>
      </c>
      <c r="B106" s="20" t="n">
        <f aca="false">SUMPRODUCT(固有振動数!$Q$6:$Q$22*(1-($A106/固有振動数!$O$6:$O$22)^2)/((1-($A106/固有振動数!$O$6:$O$22)^2)^2+固有振動数!$P$6:$P$22^2))</f>
        <v>16.0565921157139</v>
      </c>
      <c r="C106" s="20" t="n">
        <f aca="false">-SUMPRODUCT(固有振動数!$Q$6:$Q$22*固有振動数!$P$6:$P$22/((1-($A106/固有振動数!$O$6:$O$22)^2)^2+固有振動数!$P$6:$P$22^2))</f>
        <v>-0.00508340960892555</v>
      </c>
      <c r="D106" s="20" t="n">
        <f aca="false">SQRT(B106^2+C106^2)</f>
        <v>16.0565929204006</v>
      </c>
      <c r="E106" s="32" t="n">
        <f aca="false">20*LOG10(MAX(D106,0.000000000001)/$K$3)</f>
        <v>24.1130679385967</v>
      </c>
    </row>
    <row r="107" customFormat="false" ht="15" hidden="false" customHeight="false" outlineLevel="0" collapsed="false">
      <c r="A107" s="13" t="n">
        <f aca="false">A106+$F$3</f>
        <v>4040</v>
      </c>
      <c r="B107" s="20" t="n">
        <f aca="false">SUMPRODUCT(固有振動数!$Q$6:$Q$22*(1-($A107/固有振動数!$O$6:$O$22)^2)/((1-($A107/固有振動数!$O$6:$O$22)^2)^2+固有振動数!$P$6:$P$22^2))</f>
        <v>16.2429379703981</v>
      </c>
      <c r="C107" s="20" t="n">
        <f aca="false">-SUMPRODUCT(固有振動数!$Q$6:$Q$22*固有振動数!$P$6:$P$22/((1-($A107/固有振動数!$O$6:$O$22)^2)^2+固有振動数!$P$6:$P$22^2))</f>
        <v>-0.00512408758440675</v>
      </c>
      <c r="D107" s="20" t="n">
        <f aca="false">SQRT(B107^2+C107^2)</f>
        <v>16.2429387786346</v>
      </c>
      <c r="E107" s="32" t="n">
        <f aca="false">20*LOG10(MAX(D107,0.000000000001)/$K$3)</f>
        <v>24.2132921482013</v>
      </c>
    </row>
    <row r="108" customFormat="false" ht="15" hidden="false" customHeight="false" outlineLevel="0" collapsed="false">
      <c r="A108" s="13" t="n">
        <f aca="false">A107+$F$3</f>
        <v>4080</v>
      </c>
      <c r="B108" s="20" t="n">
        <f aca="false">SUMPRODUCT(固有振動数!$Q$6:$Q$22*(1-($A108/固有振動数!$O$6:$O$22)^2)/((1-($A108/固有振動数!$O$6:$O$22)^2)^2+固有振動数!$P$6:$P$22^2))</f>
        <v>16.4283845255036</v>
      </c>
      <c r="C108" s="20" t="n">
        <f aca="false">-SUMPRODUCT(固有振動数!$Q$6:$Q$22*固有振動数!$P$6:$P$22/((1-($A108/固有振動数!$O$6:$O$22)^2)^2+固有振動数!$P$6:$P$22^2))</f>
        <v>-0.0051767294538252</v>
      </c>
      <c r="D108" s="20" t="n">
        <f aca="false">SQRT(B108^2+C108^2)</f>
        <v>16.4283853411203</v>
      </c>
      <c r="E108" s="32" t="n">
        <f aca="false">20*LOG10(MAX(D108,0.000000000001)/$K$3)</f>
        <v>24.3118976206173</v>
      </c>
    </row>
    <row r="109" customFormat="false" ht="15" hidden="false" customHeight="false" outlineLevel="0" collapsed="false">
      <c r="A109" s="13" t="n">
        <f aca="false">A108+$F$3</f>
        <v>4120</v>
      </c>
      <c r="B109" s="20" t="n">
        <f aca="false">SUMPRODUCT(固有振動数!$Q$6:$Q$22*(1-($A109/固有振動数!$O$6:$O$22)^2)/((1-($A109/固有振動数!$O$6:$O$22)^2)^2+固有振動数!$P$6:$P$22^2))</f>
        <v>16.6141180922684</v>
      </c>
      <c r="C109" s="20" t="n">
        <f aca="false">-SUMPRODUCT(固有振動数!$Q$6:$Q$22*固有振動数!$P$6:$P$22/((1-($A109/固有振動数!$O$6:$O$22)^2)^2+固有振動数!$P$6:$P$22^2))</f>
        <v>-0.00524129540928521</v>
      </c>
      <c r="D109" s="20" t="n">
        <f aca="false">SQRT(B109^2+C109^2)</f>
        <v>16.6141189190104</v>
      </c>
      <c r="E109" s="32" t="n">
        <f aca="false">20*LOG10(MAX(D109,0.000000000001)/$K$3)</f>
        <v>24.4095462938678</v>
      </c>
    </row>
    <row r="110" customFormat="false" ht="15" hidden="false" customHeight="false" outlineLevel="0" collapsed="false">
      <c r="A110" s="13" t="n">
        <f aca="false">A109+$F$3</f>
        <v>4160</v>
      </c>
      <c r="B110" s="20" t="n">
        <f aca="false">SUMPRODUCT(固有振動数!$Q$6:$Q$22*(1-($A110/固有振動数!$O$6:$O$22)^2)/((1-($A110/固有振動数!$O$6:$O$22)^2)^2+固有振動数!$P$6:$P$22^2))</f>
        <v>16.8012784316699</v>
      </c>
      <c r="C110" s="20" t="n">
        <f aca="false">-SUMPRODUCT(固有振動数!$Q$6:$Q$22*固有振動数!$P$6:$P$22/((1-($A110/固有振動数!$O$6:$O$22)^2)^2+固有振動数!$P$6:$P$22^2))</f>
        <v>-0.00531803581480915</v>
      </c>
      <c r="D110" s="20" t="n">
        <f aca="false">SQRT(B110^2+C110^2)</f>
        <v>16.8012792733173</v>
      </c>
      <c r="E110" s="32" t="n">
        <f aca="false">20*LOG10(MAX(D110,0.000000000001)/$K$3)</f>
        <v>24.5068470156966</v>
      </c>
    </row>
    <row r="111" customFormat="false" ht="15" hidden="false" customHeight="false" outlineLevel="0" collapsed="false">
      <c r="A111" s="13" t="n">
        <f aca="false">A110+$F$3</f>
        <v>4200</v>
      </c>
      <c r="B111" s="20" t="n">
        <f aca="false">SUMPRODUCT(固有振動数!$Q$6:$Q$22*(1-($A111/固有振動数!$O$6:$O$22)^2)/((1-($A111/固有振動数!$O$6:$O$22)^2)^2+固有振動数!$P$6:$P$22^2))</f>
        <v>16.9909884958952</v>
      </c>
      <c r="C111" s="20" t="n">
        <f aca="false">-SUMPRODUCT(固有振動数!$Q$6:$Q$22*固有振動数!$P$6:$P$22/((1-($A111/固有振動数!$O$6:$O$22)^2)^2+固有振動数!$P$6:$P$22^2))</f>
        <v>-0.00540748524561146</v>
      </c>
      <c r="D111" s="20" t="n">
        <f aca="false">SQRT(B111^2+C111^2)</f>
        <v>16.9909893563777</v>
      </c>
      <c r="E111" s="32" t="n">
        <f aca="false">20*LOG10(MAX(D111,0.000000000001)/$K$3)</f>
        <v>24.6043733566695</v>
      </c>
    </row>
    <row r="112" customFormat="false" ht="15" hidden="false" customHeight="false" outlineLevel="0" collapsed="false">
      <c r="A112" s="13" t="n">
        <f aca="false">A111+$F$3</f>
        <v>4240</v>
      </c>
      <c r="B112" s="20" t="n">
        <f aca="false">SUMPRODUCT(固有振動数!$Q$6:$Q$22*(1-($A112/固有振動数!$O$6:$O$22)^2)/((1-($A112/固有振動数!$O$6:$O$22)^2)^2+固有振動数!$P$6:$P$22^2))</f>
        <v>17.184382388541</v>
      </c>
      <c r="C112" s="20" t="n">
        <f aca="false">-SUMPRODUCT(固有振動数!$Q$6:$Q$22*固有振動数!$P$6:$P$22/((1-($A112/固有振動数!$O$6:$O$22)^2)^2+固有振動数!$P$6:$P$22^2))</f>
        <v>-0.00551047200311056</v>
      </c>
      <c r="D112" s="20" t="n">
        <f aca="false">SQRT(B112^2+C112^2)</f>
        <v>17.1843832720555</v>
      </c>
      <c r="E112" s="32" t="n">
        <f aca="false">20*LOG10(MAX(D112,0.000000000001)/$K$3)</f>
        <v>24.7026790083717</v>
      </c>
    </row>
    <row r="113" customFormat="false" ht="15" hidden="false" customHeight="false" outlineLevel="0" collapsed="false">
      <c r="A113" s="13" t="n">
        <f aca="false">A112+$F$3</f>
        <v>4280</v>
      </c>
      <c r="B113" s="20" t="n">
        <f aca="false">SUMPRODUCT(固有振動数!$Q$6:$Q$22*(1-($A113/固有振動数!$O$6:$O$22)^2)/((1-($A113/固有振動数!$O$6:$O$22)^2)^2+固有振動数!$P$6:$P$22^2))</f>
        <v>17.3826331060779</v>
      </c>
      <c r="C113" s="20" t="n">
        <f aca="false">-SUMPRODUCT(固有振動数!$Q$6:$Q$22*固有振動数!$P$6:$P$22/((1-($A113/固有振動数!$O$6:$O$22)^2)^2+固有振動数!$P$6:$P$22^2))</f>
        <v>-0.0056281431429193</v>
      </c>
      <c r="D113" s="20" t="n">
        <f aca="false">SQRT(B113^2+C113^2)</f>
        <v>17.382634017217</v>
      </c>
      <c r="E113" s="32" t="n">
        <f aca="false">20*LOG10(MAX(D113,0.000000000001)/$K$3)</f>
        <v>24.8023117281756</v>
      </c>
    </row>
    <row r="114" customFormat="false" ht="15" hidden="false" customHeight="false" outlineLevel="0" collapsed="false">
      <c r="A114" s="13" t="n">
        <f aca="false">A113+$F$3</f>
        <v>4320</v>
      </c>
      <c r="B114" s="20" t="n">
        <f aca="false">SUMPRODUCT(固有振動数!$Q$6:$Q$22*(1-($A114/固有振動数!$O$6:$O$22)^2)/((1-($A114/固有振動数!$O$6:$O$22)^2)^2+固有振動数!$P$6:$P$22^2))</f>
        <v>17.586981563859</v>
      </c>
      <c r="C114" s="20" t="n">
        <f aca="false">-SUMPRODUCT(固有振動数!$Q$6:$Q$22*固有振動数!$P$6:$P$22/((1-($A114/固有振動数!$O$6:$O$22)^2)^2+固有振動数!$P$6:$P$22^2))</f>
        <v>-0.00576200650902495</v>
      </c>
      <c r="D114" s="20" t="n">
        <f aca="false">SQRT(B114^2+C114^2)</f>
        <v>17.5869825077594</v>
      </c>
      <c r="E114" s="32" t="n">
        <f aca="false">20*LOG10(MAX(D114,0.000000000001)/$K$3)</f>
        <v>24.9038266326445</v>
      </c>
    </row>
    <row r="115" customFormat="false" ht="15" hidden="false" customHeight="false" outlineLevel="0" collapsed="false">
      <c r="A115" s="13" t="n">
        <f aca="false">A114+$F$3</f>
        <v>4360</v>
      </c>
      <c r="B115" s="20" t="n">
        <f aca="false">SUMPRODUCT(固有振動数!$Q$6:$Q$22*(1-($A115/固有振動数!$O$6:$O$22)^2)/((1-($A115/固有振動数!$O$6:$O$22)^2)^2+固有振動数!$P$6:$P$22^2))</f>
        <v>17.7987684939891</v>
      </c>
      <c r="C115" s="20" t="n">
        <f aca="false">-SUMPRODUCT(固有振動数!$Q$6:$Q$22*固有振動数!$P$6:$P$22/((1-($A115/固有振動数!$O$6:$O$22)^2)^2+固有振動数!$P$6:$P$22^2))</f>
        <v>-0.00591399286708739</v>
      </c>
      <c r="D115" s="20" t="n">
        <f aca="false">SQRT(B115^2+C115^2)</f>
        <v>17.7987694765097</v>
      </c>
      <c r="E115" s="32" t="n">
        <f aca="false">20*LOG10(MAX(D115,0.000000000001)/$K$3)</f>
        <v>25.0077995652402</v>
      </c>
    </row>
    <row r="116" customFormat="false" ht="15" hidden="false" customHeight="false" outlineLevel="0" collapsed="false">
      <c r="A116" s="13" t="n">
        <f aca="false">A115+$F$3</f>
        <v>4400</v>
      </c>
      <c r="B116" s="20" t="n">
        <f aca="false">SUMPRODUCT(固有振動数!$Q$6:$Q$22*(1-($A116/固有振動数!$O$6:$O$22)^2)/((1-($A116/固有振動数!$O$6:$O$22)^2)^2+固有振動数!$P$6:$P$22^2))</f>
        <v>18.0194710387384</v>
      </c>
      <c r="C116" s="20" t="n">
        <f aca="false">-SUMPRODUCT(固有振動数!$Q$6:$Q$22*固有振動数!$P$6:$P$22/((1-($A116/固有振動数!$O$6:$O$22)^2)^2+固有振動数!$P$6:$P$22^2))</f>
        <v>-0.00608654320749367</v>
      </c>
      <c r="D116" s="20" t="n">
        <f aca="false">SQRT(B116^2+C116^2)</f>
        <v>18.0194720666822</v>
      </c>
      <c r="E116" s="32" t="n">
        <f aca="false">20*LOG10(MAX(D116,0.000000000001)/$K$3)</f>
        <v>25.1148412579603</v>
      </c>
    </row>
    <row r="117" customFormat="false" ht="15" hidden="false" customHeight="false" outlineLevel="0" collapsed="false">
      <c r="A117" s="13" t="n">
        <f aca="false">A116+$F$3</f>
        <v>4440</v>
      </c>
      <c r="B117" s="20" t="n">
        <f aca="false">SUMPRODUCT(固有振動数!$Q$6:$Q$22*(1-($A117/固有振動数!$O$6:$O$22)^2)/((1-($A117/固有振動数!$O$6:$O$22)^2)^2+固有振動数!$P$6:$P$22^2))</f>
        <v>18.2507462836539</v>
      </c>
      <c r="C117" s="20" t="n">
        <f aca="false">-SUMPRODUCT(固有振動数!$Q$6:$Q$22*固有振動数!$P$6:$P$22/((1-($A117/固有振動数!$O$6:$O$22)^2)^2+固有振動数!$P$6:$P$22^2))</f>
        <v>-0.00628272894803216</v>
      </c>
      <c r="D117" s="20" t="n">
        <f aca="false">SQRT(B117^2+C117^2)</f>
        <v>18.250747365053</v>
      </c>
      <c r="E117" s="32" t="n">
        <f aca="false">20*LOG10(MAX(D117,0.000000000001)/$K$3)</f>
        <v>25.2256130688611</v>
      </c>
    </row>
    <row r="118" customFormat="false" ht="15" hidden="false" customHeight="false" outlineLevel="0" collapsed="false">
      <c r="A118" s="13" t="n">
        <f aca="false">A117+$F$3</f>
        <v>4480</v>
      </c>
      <c r="B118" s="20" t="n">
        <f aca="false">SUMPRODUCT(固有振動数!$Q$6:$Q$22*(1-($A118/固有振動数!$O$6:$O$22)^2)/((1-($A118/固有振動数!$O$6:$O$22)^2)^2+固有振動数!$P$6:$P$22^2))</f>
        <v>18.4944846399209</v>
      </c>
      <c r="C118" s="20" t="n">
        <f aca="false">-SUMPRODUCT(固有振動数!$Q$6:$Q$22*固有振動数!$P$6:$P$22/((1-($A118/固有振動数!$O$6:$O$22)^2)^2+固有振動数!$P$6:$P$22^2))</f>
        <v>-0.00650641654699346</v>
      </c>
      <c r="D118" s="20" t="n">
        <f aca="false">SQRT(B118^2+C118^2)</f>
        <v>18.4944857844096</v>
      </c>
      <c r="E118" s="32" t="n">
        <f aca="false">20*LOG10(MAX(D118,0.000000000001)/$K$3)</f>
        <v>25.3408452163016</v>
      </c>
    </row>
    <row r="119" customFormat="false" ht="15" hidden="false" customHeight="false" outlineLevel="0" collapsed="false">
      <c r="A119" s="13" t="n">
        <f aca="false">A118+$F$3</f>
        <v>4520</v>
      </c>
      <c r="B119" s="20" t="n">
        <f aca="false">SUMPRODUCT(固有振動数!$Q$6:$Q$22*(1-($A119/固有振動数!$O$6:$O$22)^2)/((1-($A119/固有振動数!$O$6:$O$22)^2)^2+固有振動数!$P$6:$P$22^2))</f>
        <v>18.7528769987571</v>
      </c>
      <c r="C119" s="20" t="n">
        <f aca="false">-SUMPRODUCT(固有振動数!$Q$6:$Q$22*固有振動数!$P$6:$P$22/((1-($A119/固有振動数!$O$6:$O$22)^2)^2+固有振動数!$P$6:$P$22^2))</f>
        <v>-0.0067624936229079</v>
      </c>
      <c r="D119" s="20" t="n">
        <f aca="false">SQRT(B119^2+C119^2)</f>
        <v>18.7528782180718</v>
      </c>
      <c r="E119" s="32" t="n">
        <f aca="false">20*LOG10(MAX(D119,0.000000000001)/$K$3)</f>
        <v>25.4613586661238</v>
      </c>
    </row>
    <row r="120" customFormat="false" ht="15" hidden="false" customHeight="false" outlineLevel="0" collapsed="false">
      <c r="A120" s="13" t="n">
        <f aca="false">A119+$F$3</f>
        <v>4560</v>
      </c>
      <c r="B120" s="20" t="n">
        <f aca="false">SUMPRODUCT(固有振動数!$Q$6:$Q$22*(1-($A120/固有振動数!$O$6:$O$22)^2)/((1-($A120/固有振動数!$O$6:$O$22)^2)^2+固有振動数!$P$6:$P$22^2))</f>
        <v>19.0285011101726</v>
      </c>
      <c r="C120" s="20" t="n">
        <f aca="false">-SUMPRODUCT(固有振動数!$Q$6:$Q$22*固有振動数!$P$6:$P$22/((1-($A120/固有振動数!$O$6:$O$22)^2)^2+固有振動数!$P$6:$P$22^2))</f>
        <v>-0.00705718217176139</v>
      </c>
      <c r="D120" s="20" t="n">
        <f aca="false">SQRT(B120^2+C120^2)</f>
        <v>19.0285024188363</v>
      </c>
      <c r="E120" s="32" t="n">
        <f aca="false">20*LOG10(MAX(D120,0.000000000001)/$K$3)</f>
        <v>25.5880921957683</v>
      </c>
    </row>
    <row r="121" customFormat="false" ht="15" hidden="false" customHeight="false" outlineLevel="0" collapsed="false">
      <c r="A121" s="13" t="n">
        <f aca="false">A120+$F$3</f>
        <v>4600</v>
      </c>
      <c r="B121" s="20" t="n">
        <f aca="false">SUMPRODUCT(固有振動数!$Q$6:$Q$22*(1-($A121/固有振動数!$O$6:$O$22)^2)/((1-($A121/固有振動数!$O$6:$O$22)^2)^2+固有振動数!$P$6:$P$22^2))</f>
        <v>19.3244349600137</v>
      </c>
      <c r="C121" s="20" t="n">
        <f aca="false">-SUMPRODUCT(固有振動数!$Q$6:$Q$22*固有振動数!$P$6:$P$22/((1-($A121/固有振動数!$O$6:$O$22)^2)^2+固有振動数!$P$6:$P$22^2))</f>
        <v>-0.00739847772160572</v>
      </c>
      <c r="D121" s="20" t="n">
        <f aca="false">SQRT(B121^2+C121^2)</f>
        <v>19.3244363762898</v>
      </c>
      <c r="E121" s="32" t="n">
        <f aca="false">20*LOG10(MAX(D121,0.000000000001)/$K$3)</f>
        <v>25.7221367196087</v>
      </c>
    </row>
    <row r="122" customFormat="false" ht="15" hidden="false" customHeight="false" outlineLevel="0" collapsed="false">
      <c r="A122" s="13" t="n">
        <f aca="false">A121+$F$3</f>
        <v>4640</v>
      </c>
      <c r="B122" s="20" t="n">
        <f aca="false">SUMPRODUCT(固有振動数!$Q$6:$Q$22*(1-($A122/固有振動数!$O$6:$O$22)^2)/((1-($A122/固有振動数!$O$6:$O$22)^2)^2+固有振動数!$P$6:$P$22^2))</f>
        <v>19.6444084898449</v>
      </c>
      <c r="C122" s="20" t="n">
        <f aca="false">-SUMPRODUCT(固有振動数!$Q$6:$Q$22*固有振動数!$P$6:$P$22/((1-($A122/固有振動数!$O$6:$O$22)^2)^2+固有振動数!$P$6:$P$22^2))</f>
        <v>-0.00779677443814985</v>
      </c>
      <c r="D122" s="20" t="n">
        <f aca="false">SQRT(B122^2+C122^2)</f>
        <v>19.6444100370966</v>
      </c>
      <c r="E122" s="32" t="n">
        <f aca="false">20*LOG10(MAX(D122,0.000000000001)/$K$3)</f>
        <v>25.8647798113599</v>
      </c>
    </row>
    <row r="123" customFormat="false" ht="15" hidden="false" customHeight="false" outlineLevel="0" collapsed="false">
      <c r="A123" s="13" t="n">
        <f aca="false">A122+$F$3</f>
        <v>4680</v>
      </c>
      <c r="B123" s="20" t="n">
        <f aca="false">SUMPRODUCT(固有振動数!$Q$6:$Q$22*(1-($A123/固有振動数!$O$6:$O$22)^2)/((1-($A123/固有振動数!$O$6:$O$22)^2)^2+固有振動数!$P$6:$P$22^2))</f>
        <v>19.9930105970681</v>
      </c>
      <c r="C123" s="20" t="n">
        <f aca="false">-SUMPRODUCT(固有振動数!$Q$6:$Q$22*固有振動数!$P$6:$P$22/((1-($A123/固有振動数!$O$6:$O$22)^2)^2+固有振動数!$P$6:$P$22^2))</f>
        <v>-0.00826577089574754</v>
      </c>
      <c r="D123" s="20" t="n">
        <f aca="false">SQRT(B123^2+C123^2)</f>
        <v>19.9930123057394</v>
      </c>
      <c r="E123" s="32" t="n">
        <f aca="false">20*LOG10(MAX(D123,0.000000000001)/$K$3)</f>
        <v>26.0175646659556</v>
      </c>
    </row>
    <row r="124" customFormat="false" ht="15" hidden="false" customHeight="false" outlineLevel="0" collapsed="false">
      <c r="A124" s="13" t="n">
        <f aca="false">A123+$F$3</f>
        <v>4720</v>
      </c>
      <c r="B124" s="20" t="n">
        <f aca="false">SUMPRODUCT(固有振動数!$Q$6:$Q$22*(1-($A124/固有振動数!$O$6:$O$22)^2)/((1-($A124/固有振動数!$O$6:$O$22)^2)^2+固有振動数!$P$6:$P$22^2))</f>
        <v>20.375977308755</v>
      </c>
      <c r="C124" s="20" t="n">
        <f aca="false">-SUMPRODUCT(固有振動数!$Q$6:$Q$22*固有振動数!$P$6:$P$22/((1-($A124/固有振動数!$O$6:$O$22)^2)^2+固有振動数!$P$6:$P$22^2))</f>
        <v>-0.00882380965966499</v>
      </c>
      <c r="D124" s="20" t="n">
        <f aca="false">SQRT(B124^2+C124^2)</f>
        <v>20.3759792193287</v>
      </c>
      <c r="E124" s="32" t="n">
        <f aca="false">20*LOG10(MAX(D124,0.000000000001)/$K$3)</f>
        <v>26.1823697807136</v>
      </c>
    </row>
    <row r="125" customFormat="false" ht="15" hidden="false" customHeight="false" outlineLevel="0" collapsed="false">
      <c r="A125" s="13" t="n">
        <f aca="false">A124+$F$3</f>
        <v>4760</v>
      </c>
      <c r="B125" s="20" t="n">
        <f aca="false">SUMPRODUCT(固有振動数!$Q$6:$Q$22*(1-($A125/固有振動数!$O$6:$O$22)^2)/((1-($A125/固有振動数!$O$6:$O$22)^2)^2+固有振動数!$P$6:$P$22^2))</f>
        <v>20.8006017364048</v>
      </c>
      <c r="C125" s="20" t="n">
        <f aca="false">-SUMPRODUCT(固有振動数!$Q$6:$Q$22*固有振動数!$P$6:$P$22/((1-($A125/固有振動数!$O$6:$O$22)^2)^2+固有振動数!$P$6:$P$22^2))</f>
        <v>-0.00949590519230421</v>
      </c>
      <c r="D125" s="20" t="n">
        <f aca="false">SQRT(B125^2+C125^2)</f>
        <v>20.8006039039433</v>
      </c>
      <c r="E125" s="32" t="n">
        <f aca="false">20*LOG10(MAX(D125,0.000000000001)/$K$3)</f>
        <v>26.3615188803541</v>
      </c>
    </row>
    <row r="126" customFormat="false" ht="15" hidden="false" customHeight="false" outlineLevel="0" collapsed="false">
      <c r="A126" s="13" t="n">
        <f aca="false">A125+$F$3</f>
        <v>4800</v>
      </c>
      <c r="B126" s="20" t="n">
        <f aca="false">SUMPRODUCT(固有振動数!$Q$6:$Q$22*(1-($A126/固有振動数!$O$6:$O$22)^2)/((1-($A126/固有振動数!$O$6:$O$22)^2)^2+固有振動数!$P$6:$P$22^2))</f>
        <v>21.276331308477</v>
      </c>
      <c r="C126" s="20" t="n">
        <f aca="false">-SUMPRODUCT(固有振動数!$Q$6:$Q$22*固有振動数!$P$6:$P$22/((1-($A126/固有振動数!$O$6:$O$22)^2)^2+固有振動数!$P$6:$P$22^2))</f>
        <v>-0.0103168963930028</v>
      </c>
      <c r="D126" s="20" t="n">
        <f aca="false">SQRT(B126^2+C126^2)</f>
        <v>21.2763338098092</v>
      </c>
      <c r="E126" s="32" t="n">
        <f aca="false">20*LOG10(MAX(D126,0.000000000001)/$K$3)</f>
        <v>26.5579359091702</v>
      </c>
    </row>
    <row r="127" customFormat="false" ht="15" hidden="false" customHeight="false" outlineLevel="0" collapsed="false">
      <c r="A127" s="13" t="n">
        <f aca="false">A126+$F$3</f>
        <v>4840</v>
      </c>
      <c r="B127" s="20" t="n">
        <f aca="false">SUMPRODUCT(固有振動数!$Q$6:$Q$22*(1-($A127/固有振動数!$O$6:$O$22)^2)/((1-($A127/固有振動数!$O$6:$O$22)^2)^2+固有振動数!$P$6:$P$22^2))</f>
        <v>21.8156613053496</v>
      </c>
      <c r="C127" s="20" t="n">
        <f aca="false">-SUMPRODUCT(固有振動数!$Q$6:$Q$22*固有振動数!$P$6:$P$22/((1-($A127/固有振動数!$O$6:$O$22)^2)^2+固有振動数!$P$6:$P$22^2))</f>
        <v>-0.0113364985903401</v>
      </c>
      <c r="D127" s="20" t="n">
        <f aca="false">SQRT(B127^2+C127^2)</f>
        <v>21.8156642508526</v>
      </c>
      <c r="E127" s="32" t="n">
        <f aca="false">20*LOG10(MAX(D127,0.000000000001)/$K$3)</f>
        <v>26.77536882144</v>
      </c>
    </row>
    <row r="128" customFormat="false" ht="15" hidden="false" customHeight="false" outlineLevel="0" collapsed="false">
      <c r="A128" s="13" t="n">
        <f aca="false">A127+$F$3</f>
        <v>4880</v>
      </c>
      <c r="B128" s="20" t="n">
        <f aca="false">SUMPRODUCT(固有振動数!$Q$6:$Q$22*(1-($A128/固有振動数!$O$6:$O$22)^2)/((1-($A128/固有振動数!$O$6:$O$22)^2)^2+固有振動数!$P$6:$P$22^2))</f>
        <v>22.4355127971013</v>
      </c>
      <c r="C128" s="20" t="n">
        <f aca="false">-SUMPRODUCT(固有振動数!$Q$6:$Q$22*固有振動数!$P$6:$P$22/((1-($A128/固有振動数!$O$6:$O$22)^2)^2+固有振動数!$P$6:$P$22^2))</f>
        <v>-0.0126276876530428</v>
      </c>
      <c r="D128" s="20" t="n">
        <f aca="false">SQRT(B128^2+C128^2)</f>
        <v>22.4355163508084</v>
      </c>
      <c r="E128" s="32" t="n">
        <f aca="false">20*LOG10(MAX(D128,0.000000000001)/$K$3)</f>
        <v>27.0187213844256</v>
      </c>
    </row>
    <row r="129" customFormat="false" ht="15" hidden="false" customHeight="false" outlineLevel="0" collapsed="false">
      <c r="A129" s="13" t="n">
        <f aca="false">A128+$F$3</f>
        <v>4920</v>
      </c>
      <c r="B129" s="20" t="n">
        <f aca="false">SUMPRODUCT(固有振動数!$Q$6:$Q$22*(1-($A129/固有振動数!$O$6:$O$22)^2)/((1-($A129/固有振動数!$O$6:$O$22)^2)^2+固有振動数!$P$6:$P$22^2))</f>
        <v>23.1594331827254</v>
      </c>
      <c r="C129" s="20" t="n">
        <f aca="false">-SUMPRODUCT(固有振動数!$Q$6:$Q$22*固有振動数!$P$6:$P$22/((1-($A129/固有振動数!$O$6:$O$22)^2)^2+固有振動数!$P$6:$P$22^2))</f>
        <v>-0.0143011918854256</v>
      </c>
      <c r="D129" s="20" t="n">
        <f aca="false">SQRT(B129^2+C129^2)</f>
        <v>23.1594375982926</v>
      </c>
      <c r="E129" s="32" t="n">
        <f aca="false">20*LOG10(MAX(D129,0.000000000001)/$K$3)</f>
        <v>27.2945601763034</v>
      </c>
    </row>
    <row r="130" customFormat="false" ht="15" hidden="false" customHeight="false" outlineLevel="0" collapsed="false">
      <c r="A130" s="13" t="n">
        <f aca="false">A129+$F$3</f>
        <v>4960</v>
      </c>
      <c r="B130" s="20" t="n">
        <f aca="false">SUMPRODUCT(固有振動数!$Q$6:$Q$22*(1-($A130/固有振動数!$O$6:$O$22)^2)/((1-($A130/固有振動数!$O$6:$O$22)^2)^2+固有振動数!$P$6:$P$22^2))</f>
        <v>24.0212573888647</v>
      </c>
      <c r="C130" s="20" t="n">
        <f aca="false">-SUMPRODUCT(固有振動数!$Q$6:$Q$22*固有振動数!$P$6:$P$22/((1-($A130/固有振動数!$O$6:$O$22)^2)^2+固有振動数!$P$6:$P$22^2))</f>
        <v>-0.0165317713032159</v>
      </c>
      <c r="D130" s="20" t="n">
        <f aca="false">SQRT(B130^2+C130^2)</f>
        <v>24.0212630775643</v>
      </c>
      <c r="E130" s="32" t="n">
        <f aca="false">20*LOG10(MAX(D130,0.000000000001)/$K$3)</f>
        <v>27.6119167917244</v>
      </c>
    </row>
    <row r="131" customFormat="false" ht="15" hidden="false" customHeight="false" outlineLevel="0" collapsed="false">
      <c r="A131" s="13" t="n">
        <f aca="false">A130+$F$3</f>
        <v>5000</v>
      </c>
      <c r="B131" s="20" t="n">
        <f aca="false">SUMPRODUCT(固有振動数!$Q$6:$Q$22*(1-($A131/固有振動数!$O$6:$O$22)^2)/((1-($A131/固有振動数!$O$6:$O$22)^2)^2+固有振動数!$P$6:$P$22^2))</f>
        <v>25.0715041500476</v>
      </c>
      <c r="C131" s="20" t="n">
        <f aca="false">-SUMPRODUCT(固有振動数!$Q$6:$Q$22*固有振動数!$P$6:$P$22/((1-($A131/固有振動数!$O$6:$O$22)^2)^2+固有振動数!$P$6:$P$22^2))</f>
        <v>-0.0196086849972128</v>
      </c>
      <c r="D131" s="20" t="n">
        <f aca="false">SQRT(B131^2+C131^2)</f>
        <v>25.071511818125</v>
      </c>
      <c r="E131" s="32" t="n">
        <f aca="false">20*LOG10(MAX(D131,0.000000000001)/$K$3)</f>
        <v>27.9836104561672</v>
      </c>
    </row>
    <row r="132" customFormat="false" ht="15" hidden="false" customHeight="false" outlineLevel="0" collapsed="false">
      <c r="A132" s="13" t="n">
        <f aca="false">A131+$F$3</f>
        <v>5040</v>
      </c>
      <c r="B132" s="20" t="n">
        <f aca="false">SUMPRODUCT(固有振動数!$Q$6:$Q$22*(1-($A132/固有振動数!$O$6:$O$22)^2)/((1-($A132/固有振動数!$O$6:$O$22)^2)^2+固有振動数!$P$6:$P$22^2))</f>
        <v>26.3892340491575</v>
      </c>
      <c r="C132" s="20" t="n">
        <f aca="false">-SUMPRODUCT(固有振動数!$Q$6:$Q$22*固有振動数!$P$6:$P$22/((1-($A132/固有振動数!$O$6:$O$22)^2)^2+固有振動数!$P$6:$P$22^2))</f>
        <v>-0.0240396323202776</v>
      </c>
      <c r="D132" s="20" t="n">
        <f aca="false">SQRT(B132^2+C132^2)</f>
        <v>26.3892449987705</v>
      </c>
      <c r="E132" s="32" t="n">
        <f aca="false">20*LOG10(MAX(D132,0.000000000001)/$K$3)</f>
        <v>28.4285393030306</v>
      </c>
    </row>
    <row r="133" customFormat="false" ht="15" hidden="false" customHeight="false" outlineLevel="0" collapsed="false">
      <c r="A133" s="13" t="n">
        <f aca="false">A132+$F$3</f>
        <v>5080</v>
      </c>
      <c r="B133" s="20" t="n">
        <f aca="false">SUMPRODUCT(固有振動数!$Q$6:$Q$22*(1-($A133/固有振動数!$O$6:$O$22)^2)/((1-($A133/固有振動数!$O$6:$O$22)^2)^2+固有振動数!$P$6:$P$22^2))</f>
        <v>28.1057195944085</v>
      </c>
      <c r="C133" s="20" t="n">
        <f aca="false">-SUMPRODUCT(固有振動数!$Q$6:$Q$22*固有振動数!$P$6:$P$22/((1-($A133/固有振動数!$O$6:$O$22)^2)^2+固有振動数!$P$6:$P$22^2))</f>
        <v>-0.0307843841629511</v>
      </c>
      <c r="D133" s="20" t="n">
        <f aca="false">SQRT(B133^2+C133^2)</f>
        <v>28.1057364535752</v>
      </c>
      <c r="E133" s="32" t="n">
        <f aca="false">20*LOG10(MAX(D133,0.000000000001)/$K$3)</f>
        <v>28.9758993916067</v>
      </c>
    </row>
    <row r="134" customFormat="false" ht="15" hidden="false" customHeight="false" outlineLevel="0" collapsed="false">
      <c r="A134" s="13" t="n">
        <f aca="false">A133+$F$3</f>
        <v>5120</v>
      </c>
      <c r="B134" s="20" t="n">
        <f aca="false">SUMPRODUCT(固有振動数!$Q$6:$Q$22*(1-($A134/固有振動数!$O$6:$O$22)^2)/((1-($A134/固有振動数!$O$6:$O$22)^2)^2+固有振動数!$P$6:$P$22^2))</f>
        <v>30.4563985074478</v>
      </c>
      <c r="C134" s="20" t="n">
        <f aca="false">-SUMPRODUCT(固有振動数!$Q$6:$Q$22*固有振動数!$P$6:$P$22/((1-($A134/固有振動数!$O$6:$O$22)^2)^2+固有振動数!$P$6:$P$22^2))</f>
        <v>-0.0418426241662037</v>
      </c>
      <c r="D134" s="20" t="n">
        <f aca="false">SQRT(B134^2+C134^2)</f>
        <v>30.4564272502483</v>
      </c>
      <c r="E134" s="32" t="n">
        <f aca="false">20*LOG10(MAX(D134,0.000000000001)/$K$3)</f>
        <v>29.6735791247759</v>
      </c>
    </row>
    <row r="135" customFormat="false" ht="15" hidden="false" customHeight="false" outlineLevel="0" collapsed="false">
      <c r="A135" s="13" t="n">
        <f aca="false">A134+$F$3</f>
        <v>5160</v>
      </c>
      <c r="B135" s="20" t="n">
        <f aca="false">SUMPRODUCT(固有振動数!$Q$6:$Q$22*(1-($A135/固有振動数!$O$6:$O$22)^2)/((1-($A135/固有振動数!$O$6:$O$22)^2)^2+固有振動数!$P$6:$P$22^2))</f>
        <v>33.9103647221812</v>
      </c>
      <c r="C135" s="20" t="n">
        <f aca="false">-SUMPRODUCT(固有振動数!$Q$6:$Q$22*固有振動数!$P$6:$P$22/((1-($A135/固有振動数!$O$6:$O$22)^2)^2+固有振動数!$P$6:$P$22^2))</f>
        <v>-0.0619759282520413</v>
      </c>
      <c r="D135" s="20" t="n">
        <f aca="false">SQRT(B135^2+C135^2)</f>
        <v>33.9104213569668</v>
      </c>
      <c r="E135" s="32" t="n">
        <f aca="false">20*LOG10(MAX(D135,0.000000000001)/$K$3)</f>
        <v>30.6066637235291</v>
      </c>
    </row>
    <row r="136" customFormat="false" ht="15" hidden="false" customHeight="false" outlineLevel="0" collapsed="false">
      <c r="A136" s="13" t="n">
        <f aca="false">A135+$F$3</f>
        <v>5200</v>
      </c>
      <c r="B136" s="20" t="n">
        <f aca="false">SUMPRODUCT(固有振動数!$Q$6:$Q$22*(1-($A136/固有振動数!$O$6:$O$22)^2)/((1-($A136/固有振動数!$O$6:$O$22)^2)^2+固有振動数!$P$6:$P$22^2))</f>
        <v>39.5571542326995</v>
      </c>
      <c r="C136" s="20" t="n">
        <f aca="false">-SUMPRODUCT(固有振動数!$Q$6:$Q$22*固有振動数!$P$6:$P$22/((1-($A136/固有振動数!$O$6:$O$22)^2)^2+固有振動数!$P$6:$P$22^2))</f>
        <v>-0.104985469561722</v>
      </c>
      <c r="D136" s="20" t="n">
        <f aca="false">SQRT(B136^2+C136^2)</f>
        <v>39.5572935492103</v>
      </c>
      <c r="E136" s="32" t="n">
        <f aca="false">20*LOG10(MAX(D136,0.000000000001)/$K$3)</f>
        <v>31.9445314032693</v>
      </c>
    </row>
    <row r="137" customFormat="false" ht="15" hidden="false" customHeight="false" outlineLevel="0" collapsed="false">
      <c r="A137" s="13" t="n">
        <f aca="false">A136+$F$3</f>
        <v>5240</v>
      </c>
      <c r="B137" s="20" t="n">
        <f aca="false">SUMPRODUCT(固有振動数!$Q$6:$Q$22*(1-($A137/固有振動数!$O$6:$O$22)^2)/((1-($A137/固有振動数!$O$6:$O$22)^2)^2+固有振動数!$P$6:$P$22^2))</f>
        <v>50.6426987581921</v>
      </c>
      <c r="C137" s="20" t="n">
        <f aca="false">-SUMPRODUCT(固有振動数!$Q$6:$Q$22*固有振動数!$P$6:$P$22/((1-($A137/固有振動数!$O$6:$O$22)^2)^2+固有振動数!$P$6:$P$22^2))</f>
        <v>-0.226215669588674</v>
      </c>
      <c r="D137" s="20" t="n">
        <f aca="false">SQRT(B137^2+C137^2)</f>
        <v>50.643203996609</v>
      </c>
      <c r="E137" s="32" t="n">
        <f aca="false">20*LOG10(MAX(D137,0.000000000001)/$K$3)</f>
        <v>34.0904234796922</v>
      </c>
    </row>
    <row r="138" customFormat="false" ht="15" hidden="false" customHeight="false" outlineLevel="0" collapsed="false">
      <c r="A138" s="13" t="n">
        <f aca="false">A137+$F$3</f>
        <v>5280</v>
      </c>
      <c r="B138" s="20" t="n">
        <f aca="false">SUMPRODUCT(固有振動数!$Q$6:$Q$22*(1-($A138/固有振動数!$O$6:$O$22)^2)/((1-($A138/固有振動数!$O$6:$O$22)^2)^2+固有振動数!$P$6:$P$22^2))</f>
        <v>83.1444045118731</v>
      </c>
      <c r="C138" s="20" t="n">
        <f aca="false">-SUMPRODUCT(固有振動数!$Q$6:$Q$22*固有振動数!$P$6:$P$22/((1-($A138/固有振動数!$O$6:$O$22)^2)^2+固有振動数!$P$6:$P$22^2))</f>
        <v>-0.864419011090249</v>
      </c>
      <c r="D138" s="20" t="n">
        <f aca="false">SQRT(B138^2+C138^2)</f>
        <v>83.1488978992549</v>
      </c>
      <c r="E138" s="32" t="n">
        <f aca="false">20*LOG10(MAX(D138,0.000000000001)/$K$3)</f>
        <v>38.3971299443653</v>
      </c>
    </row>
    <row r="139" customFormat="false" ht="15" hidden="false" customHeight="false" outlineLevel="0" collapsed="false">
      <c r="A139" s="13" t="n">
        <f aca="false">A138+$F$3</f>
        <v>5320</v>
      </c>
      <c r="B139" s="20" t="n">
        <f aca="false">SUMPRODUCT(固有振動数!$Q$6:$Q$22*(1-($A139/固有振動数!$O$6:$O$22)^2)/((1-($A139/固有振動数!$O$6:$O$22)^2)^2+固有振動数!$P$6:$P$22^2))</f>
        <v>2364.31943203524</v>
      </c>
      <c r="C139" s="20" t="n">
        <f aca="false">-SUMPRODUCT(固有振動数!$Q$6:$Q$22*固有振動数!$P$6:$P$22/((1-($A139/固有振動数!$O$6:$O$22)^2)^2+固有振動数!$P$6:$P$22^2))</f>
        <v>-1637.43191591574</v>
      </c>
      <c r="D139" s="20" t="n">
        <f aca="false">SQRT(B139^2+C139^2)</f>
        <v>2875.96760342653</v>
      </c>
      <c r="E139" s="32" t="n">
        <f aca="false">20*LOG10(MAX(D139,0.000000000001)/$K$3)</f>
        <v>69.1756797918502</v>
      </c>
    </row>
    <row r="140" customFormat="false" ht="15" hidden="false" customHeight="false" outlineLevel="0" collapsed="false">
      <c r="A140" s="13" t="n">
        <f aca="false">A139+$F$3</f>
        <v>5360</v>
      </c>
      <c r="B140" s="20" t="n">
        <f aca="false">SUMPRODUCT(固有振動数!$Q$6:$Q$22*(1-($A140/固有振動数!$O$6:$O$22)^2)/((1-($A140/固有振動数!$O$6:$O$22)^2)^2+固有振動数!$P$6:$P$22^2))</f>
        <v>-49.4851042169927</v>
      </c>
      <c r="C140" s="20" t="n">
        <f aca="false">-SUMPRODUCT(固有振動数!$Q$6:$Q$22*固有振動数!$P$6:$P$22/((1-($A140/固有振動数!$O$6:$O$22)^2)^2+固有振動数!$P$6:$P$22^2))</f>
        <v>-0.919121566393667</v>
      </c>
      <c r="D140" s="20" t="n">
        <f aca="false">SQRT(B140^2+C140^2)</f>
        <v>49.4936392258686</v>
      </c>
      <c r="E140" s="32" t="n">
        <f aca="false">20*LOG10(MAX(D140,0.000000000001)/$K$3)</f>
        <v>33.8909877659</v>
      </c>
    </row>
    <row r="141" customFormat="false" ht="15" hidden="false" customHeight="false" outlineLevel="0" collapsed="false">
      <c r="A141" s="13" t="n">
        <f aca="false">A140+$F$3</f>
        <v>5400</v>
      </c>
      <c r="B141" s="20" t="n">
        <f aca="false">SUMPRODUCT(固有振動数!$Q$6:$Q$22*(1-($A141/固有振動数!$O$6:$O$22)^2)/((1-($A141/固有振動数!$O$6:$O$22)^2)^2+固有振動数!$P$6:$P$22^2))</f>
        <v>-15.037131224613</v>
      </c>
      <c r="C141" s="20" t="n">
        <f aca="false">-SUMPRODUCT(固有振動数!$Q$6:$Q$22*固有振動数!$P$6:$P$22/((1-($A141/固有振動数!$O$6:$O$22)^2)^2+固有振動数!$P$6:$P$22^2))</f>
        <v>-0.22904536613532</v>
      </c>
      <c r="D141" s="20" t="n">
        <f aca="false">SQRT(B141^2+C141^2)</f>
        <v>15.0388755313015</v>
      </c>
      <c r="E141" s="32" t="n">
        <f aca="false">20*LOG10(MAX(D141,0.000000000001)/$K$3)</f>
        <v>23.5443072985067</v>
      </c>
    </row>
    <row r="142" customFormat="false" ht="15" hidden="false" customHeight="false" outlineLevel="0" collapsed="false">
      <c r="A142" s="13" t="n">
        <f aca="false">A141+$F$3</f>
        <v>5440</v>
      </c>
      <c r="B142" s="20" t="n">
        <f aca="false">SUMPRODUCT(固有振動数!$Q$6:$Q$22*(1-($A142/固有振動数!$O$6:$O$22)^2)/((1-($A142/固有振動数!$O$6:$O$22)^2)^2+固有振動数!$P$6:$P$22^2))</f>
        <v>-3.52376158578383</v>
      </c>
      <c r="C142" s="20" t="n">
        <f aca="false">-SUMPRODUCT(固有振動数!$Q$6:$Q$22*固有振動数!$P$6:$P$22/((1-($A142/固有振動数!$O$6:$O$22)^2)^2+固有振動数!$P$6:$P$22^2))</f>
        <v>-0.104651394626382</v>
      </c>
      <c r="D142" s="20" t="n">
        <f aca="false">SQRT(B142^2+C142^2)</f>
        <v>3.52531525226369</v>
      </c>
      <c r="E142" s="32" t="n">
        <f aca="false">20*LOG10(MAX(D142,0.000000000001)/$K$3)</f>
        <v>10.9439591992952</v>
      </c>
    </row>
    <row r="143" customFormat="false" ht="15" hidden="false" customHeight="false" outlineLevel="0" collapsed="false">
      <c r="A143" s="13" t="n">
        <f aca="false">A142+$F$3</f>
        <v>5480</v>
      </c>
      <c r="B143" s="20" t="n">
        <f aca="false">SUMPRODUCT(固有振動数!$Q$6:$Q$22*(1-($A143/固有振動数!$O$6:$O$22)^2)/((1-($A143/固有振動数!$O$6:$O$22)^2)^2+固有振動数!$P$6:$P$22^2))</f>
        <v>2.35487172277874</v>
      </c>
      <c r="C143" s="20" t="n">
        <f aca="false">-SUMPRODUCT(固有振動数!$Q$6:$Q$22*固有振動数!$P$6:$P$22/((1-($A143/固有振動数!$O$6:$O$22)^2)^2+固有振動数!$P$6:$P$22^2))</f>
        <v>-0.0618985921521938</v>
      </c>
      <c r="D143" s="20" t="n">
        <f aca="false">SQRT(B143^2+C143^2)</f>
        <v>2.35568509492533</v>
      </c>
      <c r="E143" s="32" t="n">
        <f aca="false">20*LOG10(MAX(D143,0.000000000001)/$K$3)</f>
        <v>7.44234468090143</v>
      </c>
    </row>
    <row r="144" customFormat="false" ht="15" hidden="false" customHeight="false" outlineLevel="0" collapsed="false">
      <c r="A144" s="13" t="n">
        <f aca="false">A143+$F$3</f>
        <v>5520</v>
      </c>
      <c r="B144" s="20" t="n">
        <f aca="false">SUMPRODUCT(固有振動数!$Q$6:$Q$22*(1-($A144/固有振動数!$O$6:$O$22)^2)/((1-($A144/固有振動数!$O$6:$O$22)^2)^2+固有振動数!$P$6:$P$22^2))</f>
        <v>6.01033408094427</v>
      </c>
      <c r="C144" s="20" t="n">
        <f aca="false">-SUMPRODUCT(固有振動数!$Q$6:$Q$22*固有振動数!$P$6:$P$22/((1-($A144/固有振動数!$O$6:$O$22)^2)^2+固有振動数!$P$6:$P$22^2))</f>
        <v>-0.0425644050239743</v>
      </c>
      <c r="D144" s="20" t="n">
        <f aca="false">SQRT(B144^2+C144^2)</f>
        <v>6.01048479684752</v>
      </c>
      <c r="E144" s="32" t="n">
        <f aca="false">20*LOG10(MAX(D144,0.000000000001)/$K$3)</f>
        <v>15.5781900593706</v>
      </c>
    </row>
    <row r="145" customFormat="false" ht="15" hidden="false" customHeight="false" outlineLevel="0" collapsed="false">
      <c r="A145" s="13" t="n">
        <f aca="false">A144+$F$3</f>
        <v>5560</v>
      </c>
      <c r="B145" s="20" t="n">
        <f aca="false">SUMPRODUCT(固有振動数!$Q$6:$Q$22*(1-($A145/固有振動数!$O$6:$O$22)^2)/((1-($A145/固有振動数!$O$6:$O$22)^2)^2+固有振動数!$P$6:$P$22^2))</f>
        <v>8.57640139645898</v>
      </c>
      <c r="C145" s="20" t="n">
        <f aca="false">-SUMPRODUCT(固有振動数!$Q$6:$Q$22*固有振動数!$P$6:$P$22/((1-($A145/固有振動数!$O$6:$O$22)^2)^2+固有振動数!$P$6:$P$22^2))</f>
        <v>-0.0324470987909137</v>
      </c>
      <c r="D145" s="20" t="n">
        <f aca="false">SQRT(B145^2+C145^2)</f>
        <v>8.57646277479262</v>
      </c>
      <c r="E145" s="32" t="n">
        <f aca="false">20*LOG10(MAX(D145,0.000000000001)/$K$3)</f>
        <v>18.6661641389431</v>
      </c>
    </row>
    <row r="146" customFormat="false" ht="15" hidden="false" customHeight="false" outlineLevel="0" collapsed="false">
      <c r="A146" s="13" t="n">
        <f aca="false">A145+$F$3</f>
        <v>5600</v>
      </c>
      <c r="B146" s="20" t="n">
        <f aca="false">SUMPRODUCT(固有振動数!$Q$6:$Q$22*(1-($A146/固有振動数!$O$6:$O$22)^2)/((1-($A146/固有振動数!$O$6:$O$22)^2)^2+固有振動数!$P$6:$P$22^2))</f>
        <v>10.5414939296372</v>
      </c>
      <c r="C146" s="20" t="n">
        <f aca="false">-SUMPRODUCT(固有振動数!$Q$6:$Q$22*固有振動数!$P$6:$P$22/((1-($A146/固有振動数!$O$6:$O$22)^2)^2+固有振動数!$P$6:$P$22^2))</f>
        <v>-0.0267316363439529</v>
      </c>
      <c r="D146" s="20" t="n">
        <f aca="false">SQRT(B146^2+C146^2)</f>
        <v>10.5415278232787</v>
      </c>
      <c r="E146" s="32" t="n">
        <f aca="false">20*LOG10(MAX(D146,0.000000000001)/$K$3)</f>
        <v>20.4580711874231</v>
      </c>
    </row>
    <row r="147" customFormat="false" ht="15" hidden="false" customHeight="false" outlineLevel="0" collapsed="false">
      <c r="A147" s="13" t="n">
        <f aca="false">A146+$F$3</f>
        <v>5640</v>
      </c>
      <c r="B147" s="20" t="n">
        <f aca="false">SUMPRODUCT(固有振動数!$Q$6:$Q$22*(1-($A147/固有振動数!$O$6:$O$22)^2)/((1-($A147/固有振動数!$O$6:$O$22)^2)^2+固有振動数!$P$6:$P$22^2))</f>
        <v>12.1543076294519</v>
      </c>
      <c r="C147" s="20" t="n">
        <f aca="false">-SUMPRODUCT(固有振動数!$Q$6:$Q$22*固有振動数!$P$6:$P$22/((1-($A147/固有振動数!$O$6:$O$22)^2)^2+固有振動数!$P$6:$P$22^2))</f>
        <v>-0.0234405188853312</v>
      </c>
      <c r="D147" s="20" t="n">
        <f aca="false">SQRT(B147^2+C147^2)</f>
        <v>12.1543302328543</v>
      </c>
      <c r="E147" s="32" t="n">
        <f aca="false">20*LOG10(MAX(D147,0.000000000001)/$K$3)</f>
        <v>21.6946206388405</v>
      </c>
    </row>
    <row r="148" customFormat="false" ht="15" hidden="false" customHeight="false" outlineLevel="0" collapsed="false">
      <c r="A148" s="13" t="n">
        <f aca="false">A147+$F$3</f>
        <v>5680</v>
      </c>
      <c r="B148" s="20" t="n">
        <f aca="false">SUMPRODUCT(固有振動数!$Q$6:$Q$22*(1-($A148/固有振動数!$O$6:$O$22)^2)/((1-($A148/固有振動数!$O$6:$O$22)^2)^2+固有振動数!$P$6:$P$22^2))</f>
        <v>13.5590060147076</v>
      </c>
      <c r="C148" s="20" t="n">
        <f aca="false">-SUMPRODUCT(固有振動数!$Q$6:$Q$22*固有振動数!$P$6:$P$22/((1-($A148/固有振動数!$O$6:$O$22)^2)^2+固有振動数!$P$6:$P$22^2))</f>
        <v>-0.0216643450111039</v>
      </c>
      <c r="D148" s="20" t="n">
        <f aca="false">SQRT(B148^2+C148^2)</f>
        <v>13.5590233221542</v>
      </c>
      <c r="E148" s="32" t="n">
        <f aca="false">20*LOG10(MAX(D148,0.000000000001)/$K$3)</f>
        <v>22.6445681548165</v>
      </c>
    </row>
    <row r="149" customFormat="false" ht="15" hidden="false" customHeight="false" outlineLevel="0" collapsed="false">
      <c r="A149" s="13" t="n">
        <f aca="false">A148+$F$3</f>
        <v>5720</v>
      </c>
      <c r="B149" s="20" t="n">
        <f aca="false">SUMPRODUCT(固有振動数!$Q$6:$Q$22*(1-($A149/固有振動数!$O$6:$O$22)^2)/((1-($A149/固有振動数!$O$6:$O$22)^2)^2+固有振動数!$P$6:$P$22^2))</f>
        <v>14.8499259876885</v>
      </c>
      <c r="C149" s="20" t="n">
        <f aca="false">-SUMPRODUCT(固有振動数!$Q$6:$Q$22*固有振動数!$P$6:$P$22/((1-($A149/固有振動数!$O$6:$O$22)^2)^2+固有振動数!$P$6:$P$22^2))</f>
        <v>-0.0209691094297909</v>
      </c>
      <c r="D149" s="20" t="n">
        <f aca="false">SQRT(B149^2+C149^2)</f>
        <v>14.8499407925882</v>
      </c>
      <c r="E149" s="32" t="n">
        <f aca="false">20*LOG10(MAX(D149,0.000000000001)/$K$3)</f>
        <v>23.4344944420835</v>
      </c>
    </row>
    <row r="150" customFormat="false" ht="15" hidden="false" customHeight="false" outlineLevel="0" collapsed="false">
      <c r="A150" s="13" t="n">
        <f aca="false">A149+$F$3</f>
        <v>5760</v>
      </c>
      <c r="B150" s="20" t="n">
        <f aca="false">SUMPRODUCT(固有振動数!$Q$6:$Q$22*(1-($A150/固有振動数!$O$6:$O$22)^2)/((1-($A150/固有振動数!$O$6:$O$22)^2)^2+固有振動数!$P$6:$P$22^2))</f>
        <v>16.0975584882513</v>
      </c>
      <c r="C150" s="20" t="n">
        <f aca="false">-SUMPRODUCT(固有振動数!$Q$6:$Q$22*固有振動数!$P$6:$P$22/((1-($A150/固有振動数!$O$6:$O$22)^2)^2+固有振動数!$P$6:$P$22^2))</f>
        <v>-0.0211714077377054</v>
      </c>
      <c r="D150" s="20" t="n">
        <f aca="false">SQRT(B150^2+C150^2)</f>
        <v>16.0975724104965</v>
      </c>
      <c r="E150" s="32" t="n">
        <f aca="false">20*LOG10(MAX(D150,0.000000000001)/$K$3)</f>
        <v>24.1352077464537</v>
      </c>
    </row>
    <row r="151" customFormat="false" ht="15" hidden="false" customHeight="false" outlineLevel="0" collapsed="false">
      <c r="A151" s="13" t="n">
        <f aca="false">A150+$F$3</f>
        <v>5800</v>
      </c>
      <c r="B151" s="20" t="n">
        <f aca="false">SUMPRODUCT(固有振動数!$Q$6:$Q$22*(1-($A151/固有振動数!$O$6:$O$22)^2)/((1-($A151/固有振動数!$O$6:$O$22)^2)^2+固有振動数!$P$6:$P$22^2))</f>
        <v>17.3633383102428</v>
      </c>
      <c r="C151" s="20" t="n">
        <f aca="false">-SUMPRODUCT(固有振動数!$Q$6:$Q$22*固有振動数!$P$6:$P$22/((1-($A151/固有振動数!$O$6:$O$22)^2)^2+固有振動数!$P$6:$P$22^2))</f>
        <v>-0.0222542649112706</v>
      </c>
      <c r="D151" s="20" t="n">
        <f aca="false">SQRT(B151^2+C151^2)</f>
        <v>17.3633525716739</v>
      </c>
      <c r="E151" s="32" t="n">
        <f aca="false">20*LOG10(MAX(D151,0.000000000001)/$K$3)</f>
        <v>24.7926716781046</v>
      </c>
    </row>
    <row r="152" customFormat="false" ht="15" hidden="false" customHeight="false" outlineLevel="0" collapsed="false">
      <c r="A152" s="13" t="n">
        <f aca="false">A151+$F$3</f>
        <v>5840</v>
      </c>
      <c r="B152" s="20" t="n">
        <f aca="false">SUMPRODUCT(固有振動数!$Q$6:$Q$22*(1-($A152/固有振動数!$O$6:$O$22)^2)/((1-($A152/固有振動数!$O$6:$O$22)^2)^2+固有振動数!$P$6:$P$22^2))</f>
        <v>18.7105913539875</v>
      </c>
      <c r="C152" s="20" t="n">
        <f aca="false">-SUMPRODUCT(固有振動数!$Q$6:$Q$22*固有振動数!$P$6:$P$22/((1-($A152/固有振動数!$O$6:$O$22)^2)^2+固有振動数!$P$6:$P$22^2))</f>
        <v>-0.0243537767806579</v>
      </c>
      <c r="D152" s="20" t="n">
        <f aca="false">SQRT(B152^2+C152^2)</f>
        <v>18.710607203465</v>
      </c>
      <c r="E152" s="32" t="n">
        <f aca="false">20*LOG10(MAX(D152,0.000000000001)/$K$3)</f>
        <v>25.4417576322399</v>
      </c>
    </row>
    <row r="153" customFormat="false" ht="15" hidden="false" customHeight="false" outlineLevel="0" collapsed="false">
      <c r="A153" s="13" t="n">
        <f aca="false">A152+$F$3</f>
        <v>5880</v>
      </c>
      <c r="B153" s="20" t="n">
        <f aca="false">SUMPRODUCT(固有振動数!$Q$6:$Q$22*(1-($A153/固有振動数!$O$6:$O$22)^2)/((1-($A153/固有振動数!$O$6:$O$22)^2)^2+固有振動数!$P$6:$P$22^2))</f>
        <v>20.2160101544588</v>
      </c>
      <c r="C153" s="20" t="n">
        <f aca="false">-SUMPRODUCT(固有振動数!$Q$6:$Q$22*固有振動数!$P$6:$P$22/((1-($A153/固有振動数!$O$6:$O$22)^2)^2+固有振動数!$P$6:$P$22^2))</f>
        <v>-0.0278045844572026</v>
      </c>
      <c r="D153" s="20" t="n">
        <f aca="false">SQRT(B153^2+C153^2)</f>
        <v>20.2160292753077</v>
      </c>
      <c r="E153" s="32" t="n">
        <f aca="false">20*LOG10(MAX(D153,0.000000000001)/$K$3)</f>
        <v>26.1139171564874</v>
      </c>
    </row>
    <row r="154" customFormat="false" ht="15" hidden="false" customHeight="false" outlineLevel="0" collapsed="false">
      <c r="A154" s="13" t="n">
        <f aca="false">A153+$F$3</f>
        <v>5920</v>
      </c>
      <c r="B154" s="20" t="n">
        <f aca="false">SUMPRODUCT(固有振動数!$Q$6:$Q$22*(1-($A154/固有振動数!$O$6:$O$22)^2)/((1-($A154/固有振動数!$O$6:$O$22)^2)^2+固有振動数!$P$6:$P$22^2))</f>
        <v>21.9863227940312</v>
      </c>
      <c r="C154" s="20" t="n">
        <f aca="false">-SUMPRODUCT(固有振動数!$Q$6:$Q$22*固有振動数!$P$6:$P$22/((1-($A154/固有振動数!$O$6:$O$22)^2)^2+固有振動数!$P$6:$P$22^2))</f>
        <v>-0.0332738795174192</v>
      </c>
      <c r="D154" s="20" t="n">
        <f aca="false">SQRT(B154^2+C154^2)</f>
        <v>21.9863479721939</v>
      </c>
      <c r="E154" s="32" t="n">
        <f aca="false">20*LOG10(MAX(D154,0.000000000001)/$K$3)</f>
        <v>26.8430619430666</v>
      </c>
    </row>
    <row r="155" customFormat="false" ht="15" hidden="false" customHeight="false" outlineLevel="0" collapsed="false">
      <c r="A155" s="13" t="n">
        <f aca="false">A154+$F$3</f>
        <v>5960</v>
      </c>
      <c r="B155" s="20" t="n">
        <f aca="false">SUMPRODUCT(固有振動数!$Q$6:$Q$22*(1-($A155/固有振動数!$O$6:$O$22)^2)/((1-($A155/固有振動数!$O$6:$O$22)^2)^2+固有振動数!$P$6:$P$22^2))</f>
        <v>24.1886751780875</v>
      </c>
      <c r="C155" s="20" t="n">
        <f aca="false">-SUMPRODUCT(固有振動数!$Q$6:$Q$22*固有振動数!$P$6:$P$22/((1-($A155/固有振動数!$O$6:$O$22)^2)^2+固有振動数!$P$6:$P$22^2))</f>
        <v>-0.042088974562486</v>
      </c>
      <c r="D155" s="20" t="n">
        <f aca="false">SQRT(B155^2+C155^2)</f>
        <v>24.1887117960591</v>
      </c>
      <c r="E155" s="32" t="n">
        <f aca="false">20*LOG10(MAX(D155,0.000000000001)/$K$3)</f>
        <v>27.6722548002593</v>
      </c>
    </row>
    <row r="156" customFormat="false" ht="15" hidden="false" customHeight="false" outlineLevel="0" collapsed="false">
      <c r="A156" s="13" t="n">
        <f aca="false">A155+$F$3</f>
        <v>6000</v>
      </c>
      <c r="B156" s="20" t="n">
        <f aca="false">SUMPRODUCT(固有振動数!$Q$6:$Q$22*(1-($A156/固有振動数!$O$6:$O$22)^2)/((1-($A156/固有振動数!$O$6:$O$22)^2)^2+固有振動数!$P$6:$P$22^2))</f>
        <v>27.115648660418</v>
      </c>
      <c r="C156" s="20" t="n">
        <f aca="false">-SUMPRODUCT(固有振動数!$Q$6:$Q$22*固有振動数!$P$6:$P$22/((1-($A156/固有振動数!$O$6:$O$22)^2)^2+固有振動数!$P$6:$P$22^2))</f>
        <v>-0.057085151664122</v>
      </c>
      <c r="D156" s="20" t="n">
        <f aca="false">SQRT(B156^2+C156^2)</f>
        <v>27.1157087495379</v>
      </c>
      <c r="E156" s="32" t="n">
        <f aca="false">20*LOG10(MAX(D156,0.000000000001)/$K$3)</f>
        <v>28.6644192099053</v>
      </c>
    </row>
    <row r="157" customFormat="false" ht="15" hidden="false" customHeight="false" outlineLevel="0" collapsed="false">
      <c r="A157" s="13" t="n">
        <f aca="false">A156+$F$3</f>
        <v>6040</v>
      </c>
      <c r="B157" s="20" t="n">
        <f aca="false">SUMPRODUCT(固有振動数!$Q$6:$Q$22*(1-($A157/固有振動数!$O$6:$O$22)^2)/((1-($A157/固有振動数!$O$6:$O$22)^2)^2+固有振動数!$P$6:$P$22^2))</f>
        <v>31.3473444155606</v>
      </c>
      <c r="C157" s="20" t="n">
        <f aca="false">-SUMPRODUCT(固有振動数!$Q$6:$Q$22*固有振動数!$P$6:$P$22/((1-($A157/固有振動数!$O$6:$O$22)^2)^2+固有振動数!$P$6:$P$22^2))</f>
        <v>-0.0851324887586051</v>
      </c>
      <c r="D157" s="20" t="n">
        <f aca="false">SQRT(B157^2+C157^2)</f>
        <v>31.3474600158996</v>
      </c>
      <c r="E157" s="32" t="n">
        <f aca="false">20*LOG10(MAX(D157,0.000000000001)/$K$3)</f>
        <v>29.9240471420791</v>
      </c>
    </row>
    <row r="158" customFormat="false" ht="15" hidden="false" customHeight="false" outlineLevel="0" collapsed="false">
      <c r="A158" s="13" t="n">
        <f aca="false">A157+$F$3</f>
        <v>6080</v>
      </c>
      <c r="B158" s="20" t="n">
        <f aca="false">SUMPRODUCT(固有振動数!$Q$6:$Q$22*(1-($A158/固有振動数!$O$6:$O$22)^2)/((1-($A158/固有振動数!$O$6:$O$22)^2)^2+固有振動数!$P$6:$P$22^2))</f>
        <v>38.241614221499</v>
      </c>
      <c r="C158" s="20" t="n">
        <f aca="false">-SUMPRODUCT(固有振動数!$Q$6:$Q$22*固有振動数!$P$6:$P$22/((1-($A158/固有振動数!$O$6:$O$22)^2)^2+固有振動数!$P$6:$P$22^2))</f>
        <v>-0.146532577676032</v>
      </c>
      <c r="D158" s="20" t="n">
        <f aca="false">SQRT(B158^2+C158^2)</f>
        <v>38.2418949590927</v>
      </c>
      <c r="E158" s="32" t="n">
        <f aca="false">20*LOG10(MAX(D158,0.000000000001)/$K$3)</f>
        <v>31.6507880852021</v>
      </c>
    </row>
    <row r="159" customFormat="false" ht="15" hidden="false" customHeight="false" outlineLevel="0" collapsed="false">
      <c r="A159" s="13" t="n">
        <f aca="false">A158+$F$3</f>
        <v>6120</v>
      </c>
      <c r="B159" s="20" t="n">
        <f aca="false">SUMPRODUCT(固有振動数!$Q$6:$Q$22*(1-($A159/固有振動数!$O$6:$O$22)^2)/((1-($A159/固有振動数!$O$6:$O$22)^2)^2+固有振動数!$P$6:$P$22^2))</f>
        <v>51.9305160588091</v>
      </c>
      <c r="C159" s="20" t="n">
        <f aca="false">-SUMPRODUCT(固有振動数!$Q$6:$Q$22*固有振動数!$P$6:$P$22/((1-($A159/固有振動数!$O$6:$O$22)^2)^2+固有振動数!$P$6:$P$22^2))</f>
        <v>-0.325292123377316</v>
      </c>
      <c r="D159" s="20" t="n">
        <f aca="false">SQRT(B159^2+C159^2)</f>
        <v>51.9315348617751</v>
      </c>
      <c r="E159" s="32" t="n">
        <f aca="false">20*LOG10(MAX(D159,0.000000000001)/$K$3)</f>
        <v>34.3086231713884</v>
      </c>
    </row>
    <row r="160" customFormat="false" ht="15" hidden="false" customHeight="false" outlineLevel="0" collapsed="false">
      <c r="A160" s="13" t="n">
        <f aca="false">A159+$F$3</f>
        <v>6160</v>
      </c>
      <c r="B160" s="20" t="n">
        <f aca="false">SUMPRODUCT(固有振動数!$Q$6:$Q$22*(1-($A160/固有振動数!$O$6:$O$22)^2)/((1-($A160/固有振動数!$O$6:$O$22)^2)^2+固有振動数!$P$6:$P$22^2))</f>
        <v>93.907594334892</v>
      </c>
      <c r="C160" s="20" t="n">
        <f aca="false">-SUMPRODUCT(固有振動数!$Q$6:$Q$22*固有振動数!$P$6:$P$22/((1-($A160/固有振動数!$O$6:$O$22)^2)^2+固有振動数!$P$6:$P$22^2))</f>
        <v>-1.34195803595948</v>
      </c>
      <c r="D160" s="20" t="n">
        <f aca="false">SQRT(B160^2+C160^2)</f>
        <v>93.9171822678732</v>
      </c>
      <c r="E160" s="32" t="n">
        <f aca="false">20*LOG10(MAX(D160,0.000000000001)/$K$3)</f>
        <v>39.4549010852532</v>
      </c>
    </row>
    <row r="161" customFormat="false" ht="15" hidden="false" customHeight="false" outlineLevel="0" collapsed="false">
      <c r="A161" s="13" t="n">
        <f aca="false">A160+$F$3</f>
        <v>6200</v>
      </c>
      <c r="B161" s="20" t="n">
        <f aca="false">SUMPRODUCT(固有振動数!$Q$6:$Q$22*(1-($A161/固有振動数!$O$6:$O$22)^2)/((1-($A161/固有振動数!$O$6:$O$22)^2)^2+固有振動数!$P$6:$P$22^2))</f>
        <v>-1415.24893810488</v>
      </c>
      <c r="C161" s="20" t="n">
        <f aca="false">-SUMPRODUCT(固有振動数!$Q$6:$Q$22*固有振動数!$P$6:$P$22/((1-($A161/固有振動数!$O$6:$O$22)^2)^2+固有振動数!$P$6:$P$22^2))</f>
        <v>-447.718481024462</v>
      </c>
      <c r="D161" s="20" t="n">
        <f aca="false">SQRT(B161^2+C161^2)</f>
        <v>1484.37912780322</v>
      </c>
      <c r="E161" s="32" t="n">
        <f aca="false">20*LOG10(MAX(D161,0.000000000001)/$K$3)</f>
        <v>63.430896780099</v>
      </c>
    </row>
    <row r="162" customFormat="false" ht="15" hidden="false" customHeight="false" outlineLevel="0" collapsed="false">
      <c r="A162" s="13" t="n">
        <f aca="false">A161+$F$3</f>
        <v>6240</v>
      </c>
      <c r="B162" s="20" t="n">
        <f aca="false">SUMPRODUCT(固有振動数!$Q$6:$Q$22*(1-($A162/固有振動数!$O$6:$O$22)^2)/((1-($A162/固有振動数!$O$6:$O$22)^2)^2+固有振動数!$P$6:$P$22^2))</f>
        <v>-60.9962577078357</v>
      </c>
      <c r="C162" s="20" t="n">
        <f aca="false">-SUMPRODUCT(固有振動数!$Q$6:$Q$22*固有振動数!$P$6:$P$22/((1-($A162/固有振動数!$O$6:$O$22)^2)^2+固有振動数!$P$6:$P$22^2))</f>
        <v>-1.08791612625481</v>
      </c>
      <c r="D162" s="20" t="n">
        <f aca="false">SQRT(B162^2+C162^2)</f>
        <v>61.0059588553321</v>
      </c>
      <c r="E162" s="32" t="n">
        <f aca="false">20*LOG10(MAX(D162,0.000000000001)/$K$3)</f>
        <v>35.7074451499191</v>
      </c>
    </row>
    <row r="163" customFormat="false" ht="15" hidden="false" customHeight="false" outlineLevel="0" collapsed="false">
      <c r="A163" s="13" t="n">
        <f aca="false">A162+$F$3</f>
        <v>6280</v>
      </c>
      <c r="B163" s="20" t="n">
        <f aca="false">SUMPRODUCT(固有振動数!$Q$6:$Q$22*(1-($A163/固有振動数!$O$6:$O$22)^2)/((1-($A163/固有振動数!$O$6:$O$22)^2)^2+固有振動数!$P$6:$P$22^2))</f>
        <v>-24.8077814697409</v>
      </c>
      <c r="C163" s="20" t="n">
        <f aca="false">-SUMPRODUCT(固有振動数!$Q$6:$Q$22*固有振動数!$P$6:$P$22/((1-($A163/固有振動数!$O$6:$O$22)^2)^2+固有振動数!$P$6:$P$22^2))</f>
        <v>-0.287352711099231</v>
      </c>
      <c r="D163" s="20" t="n">
        <f aca="false">SQRT(B163^2+C163^2)</f>
        <v>24.8094456413479</v>
      </c>
      <c r="E163" s="32" t="n">
        <f aca="false">20*LOG10(MAX(D163,0.000000000001)/$K$3)</f>
        <v>27.8923412043532</v>
      </c>
    </row>
    <row r="164" customFormat="false" ht="15" hidden="false" customHeight="false" outlineLevel="0" collapsed="false">
      <c r="A164" s="13" t="n">
        <f aca="false">A163+$F$3</f>
        <v>6320</v>
      </c>
      <c r="B164" s="20" t="n">
        <f aca="false">SUMPRODUCT(固有振動数!$Q$6:$Q$22*(1-($A164/固有振動数!$O$6:$O$22)^2)/((1-($A164/固有振動数!$O$6:$O$22)^2)^2+固有振動数!$P$6:$P$22^2))</f>
        <v>-12.2427967626684</v>
      </c>
      <c r="C164" s="20" t="n">
        <f aca="false">-SUMPRODUCT(固有振動数!$Q$6:$Q$22*固有振動数!$P$6:$P$22/((1-($A164/固有振動数!$O$6:$O$22)^2)^2+固有振動数!$P$6:$P$22^2))</f>
        <v>-0.131801652822906</v>
      </c>
      <c r="D164" s="20" t="n">
        <f aca="false">SQRT(B164^2+C164^2)</f>
        <v>12.2435062072794</v>
      </c>
      <c r="E164" s="32" t="n">
        <f aca="false">20*LOG10(MAX(D164,0.000000000001)/$K$3)</f>
        <v>21.7581161150459</v>
      </c>
    </row>
    <row r="165" customFormat="false" ht="15" hidden="false" customHeight="false" outlineLevel="0" collapsed="false">
      <c r="A165" s="13" t="n">
        <f aca="false">A164+$F$3</f>
        <v>6360</v>
      </c>
      <c r="B165" s="20" t="n">
        <f aca="false">SUMPRODUCT(固有振動数!$Q$6:$Q$22*(1-($A165/固有振動数!$O$6:$O$22)^2)/((1-($A165/固有振動数!$O$6:$O$22)^2)^2+固有振動数!$P$6:$P$22^2))</f>
        <v>-5.80723585320463</v>
      </c>
      <c r="C165" s="20" t="n">
        <f aca="false">-SUMPRODUCT(固有振動数!$Q$6:$Q$22*固有振動数!$P$6:$P$22/((1-($A165/固有振動数!$O$6:$O$22)^2)^2+固有振動数!$P$6:$P$22^2))</f>
        <v>-0.0764782317261262</v>
      </c>
      <c r="D165" s="20" t="n">
        <f aca="false">SQRT(B165^2+C165^2)</f>
        <v>5.80773942034879</v>
      </c>
      <c r="E165" s="32" t="n">
        <f aca="false">20*LOG10(MAX(D165,0.000000000001)/$K$3)</f>
        <v>15.2801424470798</v>
      </c>
    </row>
    <row r="166" customFormat="false" ht="15" hidden="false" customHeight="false" outlineLevel="0" collapsed="false">
      <c r="A166" s="13" t="n">
        <f aca="false">A165+$F$3</f>
        <v>6400</v>
      </c>
      <c r="B166" s="20" t="n">
        <f aca="false">SUMPRODUCT(固有振動数!$Q$6:$Q$22*(1-($A166/固有振動数!$O$6:$O$22)^2)/((1-($A166/固有振動数!$O$6:$O$22)^2)^2+固有振動数!$P$6:$P$22^2))</f>
        <v>-1.86315577196057</v>
      </c>
      <c r="C166" s="20" t="n">
        <f aca="false">-SUMPRODUCT(固有振動数!$Q$6:$Q$22*固有振動数!$P$6:$P$22/((1-($A166/固有振動数!$O$6:$O$22)^2)^2+固有振動数!$P$6:$P$22^2))</f>
        <v>-0.0506799142176529</v>
      </c>
      <c r="D166" s="20" t="n">
        <f aca="false">SQRT(B166^2+C166^2)</f>
        <v>1.86384491959366</v>
      </c>
      <c r="E166" s="32" t="n">
        <f aca="false">20*LOG10(MAX(D166,0.000000000001)/$K$3)</f>
        <v>5.4081954847521</v>
      </c>
    </row>
    <row r="167" customFormat="false" ht="15" hidden="false" customHeight="false" outlineLevel="0" collapsed="false">
      <c r="A167" s="13" t="n">
        <f aca="false">A166+$F$3</f>
        <v>6440</v>
      </c>
      <c r="B167" s="20" t="n">
        <f aca="false">SUMPRODUCT(固有振動数!$Q$6:$Q$22*(1-($A167/固有振動数!$O$6:$O$22)^2)/((1-($A167/固有振動数!$O$6:$O$22)^2)^2+固有振動数!$P$6:$P$22^2))</f>
        <v>0.822554437342236</v>
      </c>
      <c r="C167" s="20" t="n">
        <f aca="false">-SUMPRODUCT(固有振動数!$Q$6:$Q$22*固有振動数!$P$6:$P$22/((1-($A167/固有振動数!$O$6:$O$22)^2)^2+固有振動数!$P$6:$P$22^2))</f>
        <v>-0.0366128333543379</v>
      </c>
      <c r="D167" s="20" t="n">
        <f aca="false">SQRT(B167^2+C167^2)</f>
        <v>0.823368873566177</v>
      </c>
      <c r="E167" s="32" t="n">
        <f aca="false">20*LOG10(MAX(D167,0.000000000001)/$K$3)</f>
        <v>-1.68811109979382</v>
      </c>
    </row>
    <row r="168" customFormat="false" ht="15" hidden="false" customHeight="false" outlineLevel="0" collapsed="false">
      <c r="A168" s="13" t="n">
        <f aca="false">A167+$F$3</f>
        <v>6480</v>
      </c>
      <c r="B168" s="20" t="n">
        <f aca="false">SUMPRODUCT(固有振動数!$Q$6:$Q$22*(1-($A168/固有振動数!$O$6:$O$22)^2)/((1-($A168/固有振動数!$O$6:$O$22)^2)^2+固有振動数!$P$6:$P$22^2))</f>
        <v>2.78371092288389</v>
      </c>
      <c r="C168" s="20" t="n">
        <f aca="false">-SUMPRODUCT(固有振動数!$Q$6:$Q$22*固有振動数!$P$6:$P$22/((1-($A168/固有振動数!$O$6:$O$22)^2)^2+固有振動数!$P$6:$P$22^2))</f>
        <v>-0.028116058218593</v>
      </c>
      <c r="D168" s="20" t="n">
        <f aca="false">SQRT(B168^2+C168^2)</f>
        <v>2.7838529082753</v>
      </c>
      <c r="E168" s="32" t="n">
        <f aca="false">20*LOG10(MAX(D168,0.000000000001)/$K$3)</f>
        <v>8.89292569052336</v>
      </c>
    </row>
    <row r="169" customFormat="false" ht="15" hidden="false" customHeight="false" outlineLevel="0" collapsed="false">
      <c r="A169" s="13" t="n">
        <f aca="false">A168+$F$3</f>
        <v>6520</v>
      </c>
      <c r="B169" s="20" t="n">
        <f aca="false">SUMPRODUCT(固有振動数!$Q$6:$Q$22*(1-($A169/固有振動数!$O$6:$O$22)^2)/((1-($A169/固有振動数!$O$6:$O$22)^2)^2+固有振動数!$P$6:$P$22^2))</f>
        <v>4.28914653763483</v>
      </c>
      <c r="C169" s="20" t="n">
        <f aca="false">-SUMPRODUCT(固有振動数!$Q$6:$Q$22*固有振動数!$P$6:$P$22/((1-($A169/固有振動数!$O$6:$O$22)^2)^2+固有振動数!$P$6:$P$22^2))</f>
        <v>-0.0225997334813938</v>
      </c>
      <c r="D169" s="20" t="n">
        <f aca="false">SQRT(B169^2+C169^2)</f>
        <v>4.28920607680003</v>
      </c>
      <c r="E169" s="32" t="n">
        <f aca="false">20*LOG10(MAX(D169,0.000000000001)/$K$3)</f>
        <v>12.6475382522101</v>
      </c>
    </row>
    <row r="170" customFormat="false" ht="15" hidden="false" customHeight="false" outlineLevel="0" collapsed="false">
      <c r="A170" s="13" t="n">
        <f aca="false">A169+$F$3</f>
        <v>6560</v>
      </c>
      <c r="B170" s="20" t="n">
        <f aca="false">SUMPRODUCT(固有振動数!$Q$6:$Q$22*(1-($A170/固有振動数!$O$6:$O$22)^2)/((1-($A170/固有振動数!$O$6:$O$22)^2)^2+固有振動数!$P$6:$P$22^2))</f>
        <v>5.48908084432014</v>
      </c>
      <c r="C170" s="20" t="n">
        <f aca="false">-SUMPRODUCT(固有振動数!$Q$6:$Q$22*固有振動数!$P$6:$P$22/((1-($A170/固有振動数!$O$6:$O$22)^2)^2+固有振動数!$P$6:$P$22^2))</f>
        <v>-0.0188214585715615</v>
      </c>
      <c r="D170" s="20" t="n">
        <f aca="false">SQRT(B170^2+C170^2)</f>
        <v>5.48911311258796</v>
      </c>
      <c r="E170" s="32" t="n">
        <f aca="false">20*LOG10(MAX(D170,0.000000000001)/$K$3)</f>
        <v>14.7900436051263</v>
      </c>
    </row>
    <row r="171" customFormat="false" ht="15" hidden="false" customHeight="false" outlineLevel="0" collapsed="false">
      <c r="A171" s="13" t="n">
        <f aca="false">A170+$F$3</f>
        <v>6600</v>
      </c>
      <c r="B171" s="20" t="n">
        <f aca="false">SUMPRODUCT(固有振動数!$Q$6:$Q$22*(1-($A171/固有振動数!$O$6:$O$22)^2)/((1-($A171/固有振動数!$O$6:$O$22)^2)^2+固有振動数!$P$6:$P$22^2))</f>
        <v>6.47410837513659</v>
      </c>
      <c r="C171" s="20" t="n">
        <f aca="false">-SUMPRODUCT(固有振動数!$Q$6:$Q$22*固有振動数!$P$6:$P$22/((1-($A171/固有振動数!$O$6:$O$22)^2)^2+固有振動数!$P$6:$P$22^2))</f>
        <v>-0.0161249940201452</v>
      </c>
      <c r="D171" s="20" t="n">
        <f aca="false">SQRT(B171^2+C171^2)</f>
        <v>6.47412845628243</v>
      </c>
      <c r="E171" s="32" t="n">
        <f aca="false">20*LOG10(MAX(D171,0.000000000001)/$K$3)</f>
        <v>16.2236262439359</v>
      </c>
    </row>
    <row r="172" customFormat="false" ht="15" hidden="false" customHeight="false" outlineLevel="0" collapsed="false">
      <c r="A172" s="13" t="n">
        <f aca="false">A171+$F$3</f>
        <v>6640</v>
      </c>
      <c r="B172" s="20" t="n">
        <f aca="false">SUMPRODUCT(固有振動数!$Q$6:$Q$22*(1-($A172/固有振動数!$O$6:$O$22)^2)/((1-($A172/固有振動数!$O$6:$O$22)^2)^2+固有振動数!$P$6:$P$22^2))</f>
        <v>7.30216050597032</v>
      </c>
      <c r="C172" s="20" t="n">
        <f aca="false">-SUMPRODUCT(固有振動数!$Q$6:$Q$22*固有振動数!$P$6:$P$22/((1-($A172/固有振動数!$O$6:$O$22)^2)^2+固有振動数!$P$6:$P$22^2))</f>
        <v>-0.0141372607291247</v>
      </c>
      <c r="D172" s="20" t="n">
        <f aca="false">SQRT(B172^2+C172^2)</f>
        <v>7.30217419109498</v>
      </c>
      <c r="E172" s="32" t="n">
        <f aca="false">20*LOG10(MAX(D172,0.000000000001)/$K$3)</f>
        <v>17.2690437739423</v>
      </c>
    </row>
    <row r="173" customFormat="false" ht="15" hidden="false" customHeight="false" outlineLevel="0" collapsed="false">
      <c r="A173" s="13" t="n">
        <f aca="false">A172+$F$3</f>
        <v>6680</v>
      </c>
      <c r="B173" s="20" t="n">
        <f aca="false">SUMPRODUCT(固有振動数!$Q$6:$Q$22*(1-($A173/固有振動数!$O$6:$O$22)^2)/((1-($A173/固有振動数!$O$6:$O$22)^2)^2+固有振動数!$P$6:$P$22^2))</f>
        <v>8.01204520726487</v>
      </c>
      <c r="C173" s="20" t="n">
        <f aca="false">-SUMPRODUCT(固有振動数!$Q$6:$Q$22*固有振動数!$P$6:$P$22/((1-($A173/固有振動数!$O$6:$O$22)^2)^2+固有振動数!$P$6:$P$22^2))</f>
        <v>-0.0126334692735125</v>
      </c>
      <c r="D173" s="20" t="n">
        <f aca="false">SQRT(B173^2+C173^2)</f>
        <v>8.01205516754608</v>
      </c>
      <c r="E173" s="32" t="n">
        <f aca="false">20*LOG10(MAX(D173,0.000000000001)/$K$3)</f>
        <v>18.0748786199154</v>
      </c>
    </row>
    <row r="174" customFormat="false" ht="15" hidden="false" customHeight="false" outlineLevel="0" collapsed="false">
      <c r="A174" s="13" t="n">
        <f aca="false">A173+$F$3</f>
        <v>6720</v>
      </c>
      <c r="B174" s="20" t="n">
        <f aca="false">SUMPRODUCT(固有振動数!$Q$6:$Q$22*(1-($A174/固有振動数!$O$6:$O$22)^2)/((1-($A174/固有振動数!$O$6:$O$22)^2)^2+固有振動数!$P$6:$P$22^2))</f>
        <v>8.63076390332908</v>
      </c>
      <c r="C174" s="20" t="n">
        <f aca="false">-SUMPRODUCT(固有振動数!$Q$6:$Q$22*固有振動数!$P$6:$P$22/((1-($A174/固有振動数!$O$6:$O$22)^2)^2+固有振動数!$P$6:$P$22^2))</f>
        <v>-0.0114716439743996</v>
      </c>
      <c r="D174" s="20" t="n">
        <f aca="false">SQRT(B174^2+C174^2)</f>
        <v>8.63077152713613</v>
      </c>
      <c r="E174" s="32" t="n">
        <f aca="false">20*LOG10(MAX(D174,0.000000000001)/$K$3)</f>
        <v>18.7209924032985</v>
      </c>
    </row>
    <row r="175" customFormat="false" ht="15" hidden="false" customHeight="false" outlineLevel="0" collapsed="false">
      <c r="A175" s="13" t="n">
        <f aca="false">A174+$F$3</f>
        <v>6760</v>
      </c>
      <c r="B175" s="20" t="n">
        <f aca="false">SUMPRODUCT(固有振動数!$Q$6:$Q$22*(1-($A175/固有振動数!$O$6:$O$22)^2)/((1-($A175/固有振動数!$O$6:$O$22)^2)^2+固有振動数!$P$6:$P$22^2))</f>
        <v>9.17770548149206</v>
      </c>
      <c r="C175" s="20" t="n">
        <f aca="false">-SUMPRODUCT(固有振動数!$Q$6:$Q$22*固有振動数!$P$6:$P$22/((1-($A175/固有振動数!$O$6:$O$22)^2)^2+固有振動数!$P$6:$P$22^2))</f>
        <v>-0.0105585487743803</v>
      </c>
      <c r="D175" s="20" t="n">
        <f aca="false">SQRT(B175^2+C175^2)</f>
        <v>9.17771155506435</v>
      </c>
      <c r="E175" s="32" t="n">
        <f aca="false">20*LOG10(MAX(D175,0.000000000001)/$K$3)</f>
        <v>19.254688083925</v>
      </c>
    </row>
    <row r="176" customFormat="false" ht="15" hidden="false" customHeight="false" outlineLevel="0" collapsed="false">
      <c r="A176" s="13" t="n">
        <f aca="false">A175+$F$3</f>
        <v>6800</v>
      </c>
      <c r="B176" s="20" t="n">
        <f aca="false">SUMPRODUCT(固有振動数!$Q$6:$Q$22*(1-($A176/固有振動数!$O$6:$O$22)^2)/((1-($A176/固有振動数!$O$6:$O$22)^2)^2+固有振動数!$P$6:$P$22^2))</f>
        <v>9.66716967498954</v>
      </c>
      <c r="C176" s="20" t="n">
        <f aca="false">-SUMPRODUCT(固有振動数!$Q$6:$Q$22*固有振動数!$P$6:$P$22/((1-($A176/固有振動数!$O$6:$O$22)^2)^2+固有振動数!$P$6:$P$22^2))</f>
        <v>-0.00983091464898863</v>
      </c>
      <c r="D176" s="20" t="n">
        <f aca="false">SQRT(B176^2+C176^2)</f>
        <v>9.66717467370484</v>
      </c>
      <c r="E176" s="32" t="n">
        <f aca="false">20*LOG10(MAX(D176,0.000000000001)/$K$3)</f>
        <v>19.7059913163924</v>
      </c>
    </row>
    <row r="177" customFormat="false" ht="15" hidden="false" customHeight="false" outlineLevel="0" collapsed="false">
      <c r="A177" s="13" t="n">
        <f aca="false">A176+$F$3</f>
        <v>6840</v>
      </c>
      <c r="B177" s="20" t="n">
        <f aca="false">SUMPRODUCT(固有振動数!$Q$6:$Q$22*(1-($A177/固有振動数!$O$6:$O$22)^2)/((1-($A177/固有振動数!$O$6:$O$22)^2)^2+固有振動数!$P$6:$P$22^2))</f>
        <v>10.1099482383664</v>
      </c>
      <c r="C177" s="20" t="n">
        <f aca="false">-SUMPRODUCT(固有振動数!$Q$6:$Q$22*固有振動数!$P$6:$P$22/((1-($A177/固有振動数!$O$6:$O$22)^2)^2+固有振動数!$P$6:$P$22^2))</f>
        <v>-0.0092445922304221</v>
      </c>
      <c r="D177" s="20" t="n">
        <f aca="false">SQRT(B177^2+C177^2)</f>
        <v>10.1099524650185</v>
      </c>
      <c r="E177" s="32" t="n">
        <f aca="false">20*LOG10(MAX(D177,0.000000000001)/$K$3)</f>
        <v>20.0949822725941</v>
      </c>
    </row>
    <row r="178" customFormat="false" ht="15" hidden="false" customHeight="false" outlineLevel="0" collapsed="false">
      <c r="A178" s="13" t="n">
        <f aca="false">A177+$F$3</f>
        <v>6880</v>
      </c>
      <c r="B178" s="20" t="n">
        <f aca="false">SUMPRODUCT(固有振動数!$Q$6:$Q$22*(1-($A178/固有振動数!$O$6:$O$22)^2)/((1-($A178/固有振動数!$O$6:$O$22)^2)^2+固有振動数!$P$6:$P$22^2))</f>
        <v>10.5143505918427</v>
      </c>
      <c r="C178" s="20" t="n">
        <f aca="false">-SUMPRODUCT(固有振動数!$Q$6:$Q$22*固有振動数!$P$6:$P$22/((1-($A178/固有振動数!$O$6:$O$22)^2)^2+固有振動数!$P$6:$P$22^2))</f>
        <v>-0.0087680249086928</v>
      </c>
      <c r="D178" s="20" t="n">
        <f aca="false">SQRT(B178^2+C178^2)</f>
        <v>10.5143542477151</v>
      </c>
      <c r="E178" s="32" t="n">
        <f aca="false">20*LOG10(MAX(D178,0.000000000001)/$K$3)</f>
        <v>20.4356521019954</v>
      </c>
    </row>
    <row r="179" customFormat="false" ht="15" hidden="false" customHeight="false" outlineLevel="0" collapsed="false">
      <c r="A179" s="13" t="n">
        <f aca="false">A178+$F$3</f>
        <v>6920</v>
      </c>
      <c r="B179" s="20" t="n">
        <f aca="false">SUMPRODUCT(固有振動数!$Q$6:$Q$22*(1-($A179/固有振動数!$O$6:$O$22)^2)/((1-($A179/固有振動数!$O$6:$O$22)^2)^2+固有振動数!$P$6:$P$22^2))</f>
        <v>10.8868892610959</v>
      </c>
      <c r="C179" s="20" t="n">
        <f aca="false">-SUMPRODUCT(固有振動数!$Q$6:$Q$22*固有振動数!$P$6:$P$22/((1-($A179/固有振動数!$O$6:$O$22)^2)^2+固有振動数!$P$6:$P$22^2))</f>
        <v>-0.00837818238941523</v>
      </c>
      <c r="D179" s="20" t="n">
        <f aca="false">SQRT(B179^2+C179^2)</f>
        <v>10.8868924848786</v>
      </c>
      <c r="E179" s="32" t="n">
        <f aca="false">20*LOG10(MAX(D179,0.000000000001)/$K$3)</f>
        <v>20.7380786800365</v>
      </c>
    </row>
    <row r="180" customFormat="false" ht="15" hidden="false" customHeight="false" outlineLevel="0" collapsed="false">
      <c r="A180" s="13" t="n">
        <f aca="false">A179+$F$3</f>
        <v>6960</v>
      </c>
      <c r="B180" s="20" t="n">
        <f aca="false">SUMPRODUCT(固有振動数!$Q$6:$Q$22*(1-($A180/固有振動数!$O$6:$O$22)^2)/((1-($A180/固有振動数!$O$6:$O$22)^2)^2+固有振動数!$P$6:$P$22^2))</f>
        <v>11.2327500368157</v>
      </c>
      <c r="C180" s="20" t="n">
        <f aca="false">-SUMPRODUCT(固有振動数!$Q$6:$Q$22*固有振動数!$P$6:$P$22/((1-($A180/固有振動数!$O$6:$O$22)^2)^2+固有振動数!$P$6:$P$22^2))</f>
        <v>-0.00805794928288808</v>
      </c>
      <c r="D180" s="20" t="n">
        <f aca="false">SQRT(B180^2+C180^2)</f>
        <v>11.2327529270491</v>
      </c>
      <c r="E180" s="32" t="n">
        <f aca="false">20*LOG10(MAX(D180,0.000000000001)/$K$3)</f>
        <v>21.009724127024</v>
      </c>
    </row>
    <row r="181" customFormat="false" ht="15" hidden="false" customHeight="false" outlineLevel="0" collapsed="false">
      <c r="A181" s="13" t="n">
        <f aca="false">A180+$F$3</f>
        <v>7000</v>
      </c>
      <c r="B181" s="20" t="n">
        <f aca="false">SUMPRODUCT(固有振動数!$Q$6:$Q$22*(1-($A181/固有振動数!$O$6:$O$22)^2)/((1-($A181/固有振動数!$O$6:$O$22)^2)^2+固有振動数!$P$6:$P$22^2))</f>
        <v>11.5561219519192</v>
      </c>
      <c r="C181" s="20" t="n">
        <f aca="false">-SUMPRODUCT(固有振動数!$Q$6:$Q$22*固有振動数!$P$6:$P$22/((1-($A181/固有振動数!$O$6:$O$22)^2)^2+固有振動数!$P$6:$P$22^2))</f>
        <v>-0.00779440293407578</v>
      </c>
      <c r="D181" s="20" t="n">
        <f aca="false">SQRT(B181^2+C181^2)</f>
        <v>11.5561245805134</v>
      </c>
      <c r="E181" s="32" t="n">
        <f aca="false">20*LOG10(MAX(D181,0.000000000001)/$K$3)</f>
        <v>21.256244301965</v>
      </c>
    </row>
    <row r="182" customFormat="false" ht="15" hidden="false" customHeight="false" outlineLevel="0" collapsed="false">
      <c r="A182" s="13" t="n">
        <f aca="false">A181+$F$3</f>
        <v>7040</v>
      </c>
      <c r="B182" s="20" t="n">
        <f aca="false">SUMPRODUCT(固有振動数!$Q$6:$Q$22*(1-($A182/固有振動数!$O$6:$O$22)^2)/((1-($A182/固有振動数!$O$6:$O$22)^2)^2+固有振動数!$P$6:$P$22^2))</f>
        <v>11.8604336483809</v>
      </c>
      <c r="C182" s="20" t="n">
        <f aca="false">-SUMPRODUCT(固有振動数!$Q$6:$Q$22*固有振動数!$P$6:$P$22/((1-($A182/固有振動数!$O$6:$O$22)^2)^2+固有振動数!$P$6:$P$22^2))</f>
        <v>-0.00757765069884115</v>
      </c>
      <c r="D182" s="20" t="n">
        <f aca="false">SQRT(B182^2+C182^2)</f>
        <v>11.8604360690675</v>
      </c>
      <c r="E182" s="32" t="n">
        <f aca="false">20*LOG10(MAX(D182,0.000000000001)/$K$3)</f>
        <v>21.4820131379143</v>
      </c>
    </row>
    <row r="183" customFormat="false" ht="15" hidden="false" customHeight="false" outlineLevel="0" collapsed="false">
      <c r="A183" s="13" t="n">
        <f aca="false">A182+$F$3</f>
        <v>7080</v>
      </c>
      <c r="B183" s="20" t="n">
        <f aca="false">SUMPRODUCT(固有振動数!$Q$6:$Q$22*(1-($A183/固有振動数!$O$6:$O$22)^2)/((1-($A183/固有振動数!$O$6:$O$22)^2)^2+固有振動数!$P$6:$P$22^2))</f>
        <v>12.1485258207663</v>
      </c>
      <c r="C183" s="20" t="n">
        <f aca="false">-SUMPRODUCT(固有振動数!$Q$6:$Q$22*固有振動数!$P$6:$P$22/((1-($A183/固有振動数!$O$6:$O$22)^2)^2+固有振動数!$P$6:$P$22^2))</f>
        <v>-0.00740002836953023</v>
      </c>
      <c r="D183" s="20" t="n">
        <f aca="false">SQRT(B183^2+C183^2)</f>
        <v>12.1485280745547</v>
      </c>
      <c r="E183" s="32" t="n">
        <f aca="false">20*LOG10(MAX(D183,0.000000000001)/$K$3)</f>
        <v>21.690473233052</v>
      </c>
    </row>
    <row r="184" customFormat="false" ht="15" hidden="false" customHeight="false" outlineLevel="0" collapsed="false">
      <c r="A184" s="13" t="n">
        <f aca="false">A183+$F$3</f>
        <v>7120</v>
      </c>
      <c r="B184" s="20" t="n">
        <f aca="false">SUMPRODUCT(固有振動数!$Q$6:$Q$22*(1-($A184/固有振動数!$O$6:$O$22)^2)/((1-($A184/固有振動数!$O$6:$O$22)^2)^2+固有振動数!$P$6:$P$22^2))</f>
        <v>12.4227791299183</v>
      </c>
      <c r="C184" s="20" t="n">
        <f aca="false">-SUMPRODUCT(固有振動数!$Q$6:$Q$22*固有振動数!$P$6:$P$22/((1-($A184/固有振動数!$O$6:$O$22)^2)^2+固有振動数!$P$6:$P$22^2))</f>
        <v>-0.00725553718217046</v>
      </c>
      <c r="D184" s="20" t="n">
        <f aca="false">SQRT(B184^2+C184^2)</f>
        <v>12.4227812487202</v>
      </c>
      <c r="E184" s="32" t="n">
        <f aca="false">20*LOG10(MAX(D184,0.000000000001)/$K$3)</f>
        <v>21.8843767569882</v>
      </c>
    </row>
    <row r="185" customFormat="false" ht="15" hidden="false" customHeight="false" outlineLevel="0" collapsed="false">
      <c r="A185" s="13" t="n">
        <f aca="false">A184+$F$3</f>
        <v>7160</v>
      </c>
      <c r="B185" s="20" t="n">
        <f aca="false">SUMPRODUCT(固有振動数!$Q$6:$Q$22*(1-($A185/固有振動数!$O$6:$O$22)^2)/((1-($A185/固有振動数!$O$6:$O$22)^2)^2+固有振動数!$P$6:$P$22^2))</f>
        <v>12.6852105376188</v>
      </c>
      <c r="C185" s="20" t="n">
        <f aca="false">-SUMPRODUCT(固有振動数!$Q$6:$Q$22*固有振動数!$P$6:$P$22/((1-($A185/固有振動数!$O$6:$O$22)^2)^2+固有振動数!$P$6:$P$22^2))</f>
        <v>-0.00713944175155926</v>
      </c>
      <c r="D185" s="20" t="n">
        <f aca="false">SQRT(B185^2+C185^2)</f>
        <v>12.6852125467153</v>
      </c>
      <c r="E185" s="32" t="n">
        <f aca="false">20*LOG10(MAX(D185,0.000000000001)/$K$3)</f>
        <v>22.0659549685492</v>
      </c>
    </row>
    <row r="186" customFormat="false" ht="15" hidden="false" customHeight="false" outlineLevel="0" collapsed="false">
      <c r="A186" s="13" t="n">
        <f aca="false">A185+$F$3</f>
        <v>7200</v>
      </c>
      <c r="B186" s="20" t="n">
        <f aca="false">SUMPRODUCT(固有振動数!$Q$6:$Q$22*(1-($A186/固有振動数!$O$6:$O$22)^2)/((1-($A186/固有振動数!$O$6:$O$22)^2)^2+固有振動数!$P$6:$P$22^2))</f>
        <v>12.9375468844324</v>
      </c>
      <c r="C186" s="20" t="n">
        <f aca="false">-SUMPRODUCT(固有振動数!$Q$6:$Q$22*固有振動数!$P$6:$P$22/((1-($A186/固有振動数!$O$6:$O$22)^2)^2+固有振動数!$P$6:$P$22^2))</f>
        <v>-0.00704797863109322</v>
      </c>
      <c r="D186" s="20" t="n">
        <f aca="false">SQRT(B186^2+C186^2)</f>
        <v>12.9375488041935</v>
      </c>
      <c r="E186" s="32" t="n">
        <f aca="false">20*LOG10(MAX(D186,0.000000000001)/$K$3)</f>
        <v>22.2370400217813</v>
      </c>
    </row>
    <row r="187" customFormat="false" ht="15" hidden="false" customHeight="false" outlineLevel="0" collapsed="false">
      <c r="A187" s="13" t="n">
        <f aca="false">A186+$F$3</f>
        <v>7240</v>
      </c>
      <c r="B187" s="20" t="n">
        <f aca="false">SUMPRODUCT(固有振動数!$Q$6:$Q$22*(1-($A187/固有振動数!$O$6:$O$22)^2)/((1-($A187/固有振動数!$O$6:$O$22)^2)^2+固有振動数!$P$6:$P$22^2))</f>
        <v>13.181281830334</v>
      </c>
      <c r="C187" s="20" t="n">
        <f aca="false">-SUMPRODUCT(固有振動数!$Q$6:$Q$22*固有振動数!$P$6:$P$22/((1-($A187/固有振動数!$O$6:$O$22)^2)^2+固有振動数!$P$6:$P$22^2))</f>
        <v>-0.0069781422514473</v>
      </c>
      <c r="D187" s="20" t="n">
        <f aca="false">SQRT(B187^2+C187^2)</f>
        <v>13.1812836774406</v>
      </c>
      <c r="E187" s="32" t="n">
        <f aca="false">20*LOG10(MAX(D187,0.000000000001)/$K$3)</f>
        <v>22.3991541336605</v>
      </c>
    </row>
    <row r="188" customFormat="false" ht="15" hidden="false" customHeight="false" outlineLevel="0" collapsed="false">
      <c r="A188" s="13" t="n">
        <f aca="false">A187+$F$3</f>
        <v>7280</v>
      </c>
      <c r="B188" s="20" t="n">
        <f aca="false">SUMPRODUCT(固有振動数!$Q$6:$Q$22*(1-($A188/固有振動数!$O$6:$O$22)^2)/((1-($A188/固有振動数!$O$6:$O$22)^2)^2+固有振動数!$P$6:$P$22^2))</f>
        <v>13.4177204741812</v>
      </c>
      <c r="C188" s="20" t="n">
        <f aca="false">-SUMPRODUCT(固有振動数!$Q$6:$Q$22*固有振動数!$P$6:$P$22/((1-($A188/固有振動数!$O$6:$O$22)^2)^2+固有振動数!$P$6:$P$22^2))</f>
        <v>-0.00692752586320023</v>
      </c>
      <c r="D188" s="20" t="n">
        <f aca="false">SQRT(B188^2+C188^2)</f>
        <v>13.4177222625108</v>
      </c>
      <c r="E188" s="32" t="n">
        <f aca="false">20*LOG10(MAX(D188,0.000000000001)/$K$3)</f>
        <v>22.5535759608024</v>
      </c>
    </row>
    <row r="189" customFormat="false" ht="15" hidden="false" customHeight="false" outlineLevel="0" collapsed="false">
      <c r="A189" s="13" t="n">
        <f aca="false">A188+$F$3</f>
        <v>7320</v>
      </c>
      <c r="B189" s="20" t="n">
        <f aca="false">SUMPRODUCT(固有振動数!$Q$6:$Q$22*(1-($A189/固有振動数!$O$6:$O$22)^2)/((1-($A189/固有振動数!$O$6:$O$22)^2)^2+固有振動数!$P$6:$P$22^2))</f>
        <v>13.6480147433218</v>
      </c>
      <c r="C189" s="20" t="n">
        <f aca="false">-SUMPRODUCT(固有振動数!$Q$6:$Q$22*固有振動数!$P$6:$P$22/((1-($A189/固有振動数!$O$6:$O$22)^2)^2+固有振動数!$P$6:$P$22^2))</f>
        <v>-0.0068942021756967</v>
      </c>
      <c r="D189" s="20" t="n">
        <f aca="false">SQRT(B189^2+C189^2)</f>
        <v>13.6480164846014</v>
      </c>
      <c r="E189" s="32" t="n">
        <f aca="false">20*LOG10(MAX(D189,0.000000000001)/$K$3)</f>
        <v>22.7013907676282</v>
      </c>
    </row>
    <row r="190" customFormat="false" ht="15" hidden="false" customHeight="false" outlineLevel="0" collapsed="false">
      <c r="A190" s="13" t="n">
        <f aca="false">A189+$F$3</f>
        <v>7360</v>
      </c>
      <c r="B190" s="20" t="n">
        <f aca="false">SUMPRODUCT(固有振動数!$Q$6:$Q$22*(1-($A190/固有振動数!$O$6:$O$22)^2)/((1-($A190/固有振動数!$O$6:$O$22)^2)^2+固有振動数!$P$6:$P$22^2))</f>
        <v>13.8731917996005</v>
      </c>
      <c r="C190" s="20" t="n">
        <f aca="false">-SUMPRODUCT(固有振動数!$Q$6:$Q$22*固有振動数!$P$6:$P$22/((1-($A190/固有振動数!$O$6:$O$22)^2)^2+固有振動数!$P$6:$P$22^2))</f>
        <v>-0.0068766330636655</v>
      </c>
      <c r="D190" s="20" t="n">
        <f aca="false">SQRT(B190^2+C190^2)</f>
        <v>13.8731935038976</v>
      </c>
      <c r="E190" s="32" t="n">
        <f aca="false">20*LOG10(MAX(D190,0.000000000001)/$K$3)</f>
        <v>22.8435288775278</v>
      </c>
    </row>
    <row r="191" customFormat="false" ht="15" hidden="false" customHeight="false" outlineLevel="0" collapsed="false">
      <c r="A191" s="13" t="n">
        <f aca="false">A190+$F$3</f>
        <v>7400</v>
      </c>
      <c r="B191" s="20" t="n">
        <f aca="false">SUMPRODUCT(固有振動数!$Q$6:$Q$22*(1-($A191/固有振動数!$O$6:$O$22)^2)/((1-($A191/固有振動数!$O$6:$O$22)^2)^2+固有振動数!$P$6:$P$22^2))</f>
        <v>14.0941771165896</v>
      </c>
      <c r="C191" s="20" t="n">
        <f aca="false">-SUMPRODUCT(固有振動数!$Q$6:$Q$22*固有振動数!$P$6:$P$22/((1-($A191/固有振動数!$O$6:$O$22)^2)^2+固有振動数!$P$6:$P$22^2))</f>
        <v>-0.00687360086455547</v>
      </c>
      <c r="D191" s="20" t="n">
        <f aca="false">SQRT(B191^2+C191^2)</f>
        <v>14.0941787926856</v>
      </c>
      <c r="E191" s="32" t="n">
        <f aca="false">20*LOG10(MAX(D191,0.000000000001)/$K$3)</f>
        <v>22.9807955293811</v>
      </c>
    </row>
    <row r="192" customFormat="false" ht="15" hidden="false" customHeight="false" outlineLevel="0" collapsed="false">
      <c r="A192" s="13" t="n">
        <f aca="false">A191+$F$3</f>
        <v>7440</v>
      </c>
      <c r="B192" s="20" t="n">
        <f aca="false">SUMPRODUCT(固有振動数!$Q$6:$Q$22*(1-($A192/固有振動数!$O$6:$O$22)^2)/((1-($A192/固有振動数!$O$6:$O$22)^2)^2+固有振動数!$P$6:$P$22^2))</f>
        <v>14.3118134635537</v>
      </c>
      <c r="C192" s="20" t="n">
        <f aca="false">-SUMPRODUCT(固有振動数!$Q$6:$Q$22*固有振動数!$P$6:$P$22/((1-($A192/固有振動数!$O$6:$O$22)^2)^2+固有振動数!$P$6:$P$22^2))</f>
        <v>-0.00688415594655054</v>
      </c>
      <c r="D192" s="20" t="n">
        <f aca="false">SQRT(B192^2+C192^2)</f>
        <v>14.3118151192349</v>
      </c>
      <c r="E192" s="32" t="n">
        <f aca="false">20*LOG10(MAX(D192,0.000000000001)/$K$3)</f>
        <v>23.1138943471412</v>
      </c>
    </row>
    <row r="193" customFormat="false" ht="15" hidden="false" customHeight="false" outlineLevel="0" collapsed="false">
      <c r="A193" s="13" t="n">
        <f aca="false">A192+$F$3</f>
        <v>7480</v>
      </c>
      <c r="B193" s="20" t="n">
        <f aca="false">SUMPRODUCT(固有振動数!$Q$6:$Q$22*(1-($A193/固有振動数!$O$6:$O$22)^2)/((1-($A193/固有振動数!$O$6:$O$22)^2)^2+固有振動数!$P$6:$P$22^2))</f>
        <v>14.5268767310245</v>
      </c>
      <c r="C193" s="20" t="n">
        <f aca="false">-SUMPRODUCT(固有振動数!$Q$6:$Q$22*固有振動数!$P$6:$P$22/((1-($A193/固有振動数!$O$6:$O$22)^2)^2+固有振動数!$P$6:$P$22^2))</f>
        <v>-0.00690757672679139</v>
      </c>
      <c r="D193" s="20" t="n">
        <f aca="false">SQRT(B193^2+C193^2)</f>
        <v>14.526878373312</v>
      </c>
      <c r="E193" s="32" t="n">
        <f aca="false">20*LOG10(MAX(D193,0.000000000001)/$K$3)</f>
        <v>23.2434460080582</v>
      </c>
    </row>
    <row r="194" customFormat="false" ht="15" hidden="false" customHeight="false" outlineLevel="0" collapsed="false">
      <c r="A194" s="13" t="n">
        <f aca="false">A193+$F$3</f>
        <v>7520</v>
      </c>
      <c r="B194" s="20" t="n">
        <f aca="false">SUMPRODUCT(固有振動数!$Q$6:$Q$22*(1-($A194/固有振動数!$O$6:$O$22)^2)/((1-($A194/固有振動数!$O$6:$O$22)^2)^2+固有振動数!$P$6:$P$22^2))</f>
        <v>14.7400893152505</v>
      </c>
      <c r="C194" s="20" t="n">
        <f aca="false">-SUMPRODUCT(固有振動数!$Q$6:$Q$22*固有振動数!$P$6:$P$22/((1-($A194/固有振動数!$O$6:$O$22)^2)^2+固有振動数!$P$6:$P$22^2))</f>
        <v>-0.00694333937823433</v>
      </c>
      <c r="D194" s="20" t="n">
        <f aca="false">SQRT(B194^2+C194^2)</f>
        <v>14.7400909505852</v>
      </c>
      <c r="E194" s="32" t="n">
        <f aca="false">20*LOG10(MAX(D194,0.000000000001)/$K$3)</f>
        <v>23.3700032650542</v>
      </c>
    </row>
    <row r="195" customFormat="false" ht="15" hidden="false" customHeight="false" outlineLevel="0" collapsed="false">
      <c r="A195" s="13" t="n">
        <f aca="false">A194+$F$3</f>
        <v>7560</v>
      </c>
      <c r="B195" s="20" t="n">
        <f aca="false">SUMPRODUCT(固有振動数!$Q$6:$Q$22*(1-($A195/固有振動数!$O$6:$O$22)^2)/((1-($A195/固有振動数!$O$6:$O$22)^2)^2+固有振動数!$P$6:$P$22^2))</f>
        <v>14.9521316201468</v>
      </c>
      <c r="C195" s="20" t="n">
        <f aca="false">-SUMPRODUCT(固有振動数!$Q$6:$Q$22*固有振動数!$P$6:$P$22/((1-($A195/固有振動数!$O$6:$O$22)^2)^2+固有振動数!$P$6:$P$22^2))</f>
        <v>-0.00699109522365116</v>
      </c>
      <c r="D195" s="20" t="n">
        <f aca="false">SQRT(B195^2+C195^2)</f>
        <v>14.9521332545428</v>
      </c>
      <c r="E195" s="32" t="n">
        <f aca="false">20*LOG10(MAX(D195,0.000000000001)/$K$3)</f>
        <v>23.4940631770661</v>
      </c>
    </row>
    <row r="196" customFormat="false" ht="15" hidden="false" customHeight="false" outlineLevel="0" collapsed="false">
      <c r="A196" s="13" t="n">
        <f aca="false">A195+$F$3</f>
        <v>7600</v>
      </c>
      <c r="B196" s="20" t="n">
        <f aca="false">SUMPRODUCT(固有振動数!$Q$6:$Q$22*(1-($A196/固有振動数!$O$6:$O$22)^2)/((1-($A196/固有振動数!$O$6:$O$22)^2)^2+固有振動数!$P$6:$P$22^2))</f>
        <v>15.16365211925</v>
      </c>
      <c r="C196" s="20" t="n">
        <f aca="false">-SUMPRODUCT(固有振動数!$Q$6:$Q$22*固有振動数!$P$6:$P$22/((1-($A196/固有振動数!$O$6:$O$22)^2)^2+固有振動数!$P$6:$P$22^2))</f>
        <v>-0.00705065437090787</v>
      </c>
      <c r="D196" s="20" t="n">
        <f aca="false">SQRT(B196^2+C196^2)</f>
        <v>15.1636537584239</v>
      </c>
      <c r="E196" s="32" t="n">
        <f aca="false">20*LOG10(MAX(D196,0.000000000001)/$K$3)</f>
        <v>23.6160771867806</v>
      </c>
    </row>
    <row r="197" customFormat="false" ht="15" hidden="false" customHeight="false" outlineLevel="0" collapsed="false">
      <c r="A197" s="13" t="n">
        <f aca="false">A196+$F$3</f>
        <v>7640</v>
      </c>
      <c r="B197" s="20" t="n">
        <f aca="false">SUMPRODUCT(固有振動数!$Q$6:$Q$22*(1-($A197/固有振動数!$O$6:$O$22)^2)/((1-($A197/固有振動数!$O$6:$O$22)^2)^2+固有振動数!$P$6:$P$22^2))</f>
        <v>15.3752763352371</v>
      </c>
      <c r="C197" s="20" t="n">
        <f aca="false">-SUMPRODUCT(固有振動数!$Q$6:$Q$22*固有振動数!$P$6:$P$22/((1-($A197/固有振動数!$O$6:$O$22)^2)^2+固有振動数!$P$6:$P$22^2))</f>
        <v>-0.00712197455880463</v>
      </c>
      <c r="D197" s="20" t="n">
        <f aca="false">SQRT(B197^2+C197^2)</f>
        <v>15.3752779847202</v>
      </c>
      <c r="E197" s="32" t="n">
        <f aca="false">20*LOG10(MAX(D197,0.000000000001)/$K$3)</f>
        <v>23.7364595310807</v>
      </c>
    </row>
    <row r="198" customFormat="false" ht="15" hidden="false" customHeight="false" outlineLevel="0" collapsed="false">
      <c r="A198" s="13" t="n">
        <f aca="false">A197+$F$3</f>
        <v>7680</v>
      </c>
      <c r="B198" s="20" t="n">
        <f aca="false">SUMPRODUCT(固有振動数!$Q$6:$Q$22*(1-($A198/固有振動数!$O$6:$O$22)^2)/((1-($A198/固有振動数!$O$6:$O$22)^2)^2+固有振動数!$P$6:$P$22^2))</f>
        <v>15.5876150329373</v>
      </c>
      <c r="C198" s="20" t="n">
        <f aca="false">-SUMPRODUCT(固有振動数!$Q$6:$Q$22*固有振動数!$P$6:$P$22/((1-($A198/固有振動数!$O$6:$O$22)^2)^2+固有振動数!$P$6:$P$22^2))</f>
        <v>-0.00720515450163215</v>
      </c>
      <c r="D198" s="20" t="n">
        <f aca="false">SQRT(B198^2+C198^2)</f>
        <v>15.5876166981776</v>
      </c>
      <c r="E198" s="32" t="n">
        <f aca="false">20*LOG10(MAX(D198,0.000000000001)/$K$3)</f>
        <v>23.8555943577158</v>
      </c>
    </row>
    <row r="199" customFormat="false" ht="15" hidden="false" customHeight="false" outlineLevel="0" collapsed="false">
      <c r="A199" s="13" t="n">
        <f aca="false">A198+$F$3</f>
        <v>7720</v>
      </c>
      <c r="B199" s="20" t="n">
        <f aca="false">SUMPRODUCT(固有振動数!$Q$6:$Q$22*(1-($A199/固有振動数!$O$6:$O$22)^2)/((1-($A199/固有振動数!$O$6:$O$22)^2)^2+固有振動数!$P$6:$P$22^2))</f>
        <v>15.8012718780128</v>
      </c>
      <c r="C199" s="20" t="n">
        <f aca="false">-SUMPRODUCT(固有振動数!$Q$6:$Q$22*固有振動数!$P$6:$P$22/((1-($A199/固有振動数!$O$6:$O$22)^2)^2+固有振動数!$P$6:$P$22^2))</f>
        <v>-0.00730043127456732</v>
      </c>
      <c r="D199" s="20" t="n">
        <f aca="false">SQRT(B199^2+C199^2)</f>
        <v>15.8012735644686</v>
      </c>
      <c r="E199" s="32" t="n">
        <f aca="false">20*LOG10(MAX(D199,0.000000000001)/$K$3)</f>
        <v>23.9738418400135</v>
      </c>
    </row>
    <row r="200" customFormat="false" ht="15" hidden="false" customHeight="false" outlineLevel="0" collapsed="false">
      <c r="A200" s="13" t="n">
        <f aca="false">A199+$F$3</f>
        <v>7760</v>
      </c>
      <c r="B200" s="20" t="n">
        <f aca="false">SUMPRODUCT(固有振動数!$Q$6:$Q$22*(1-($A200/固有振動数!$O$6:$O$22)^2)/((1-($A200/固有振動数!$O$6:$O$22)^2)^2+固有振動数!$P$6:$P$22^2))</f>
        <v>16.016850783864</v>
      </c>
      <c r="C200" s="20" t="n">
        <f aca="false">-SUMPRODUCT(固有振動数!$Q$6:$Q$22*固有振動数!$P$6:$P$22/((1-($A200/固有振動数!$O$6:$O$22)^2)^2+固有振動数!$P$6:$P$22^2))</f>
        <v>-0.00740818149413804</v>
      </c>
      <c r="D200" s="20" t="n">
        <f aca="false">SQRT(B200^2+C200^2)</f>
        <v>16.0168524970956</v>
      </c>
      <c r="E200" s="32" t="n">
        <f aca="false">20*LOG10(MAX(D200,0.000000000001)/$K$3)</f>
        <v>24.0915435215503</v>
      </c>
    </row>
    <row r="201" customFormat="false" ht="15" hidden="false" customHeight="false" outlineLevel="0" collapsed="false">
      <c r="A201" s="13" t="n">
        <f aca="false">A200+$F$3</f>
        <v>7800</v>
      </c>
      <c r="B201" s="20" t="n">
        <f aca="false">SUMPRODUCT(固有振動数!$Q$6:$Q$22*(1-($A201/固有振動数!$O$6:$O$22)^2)/((1-($A201/固有振動数!$O$6:$O$22)^2)^2+固有振動数!$P$6:$P$22^2))</f>
        <v>16.2349631513871</v>
      </c>
      <c r="C201" s="20" t="n">
        <f aca="false">-SUMPRODUCT(固有振動数!$Q$6:$Q$22*固有振動数!$P$6:$P$22/((1-($A201/固有振動数!$O$6:$O$22)^2)^2+固有振動数!$P$6:$P$22^2))</f>
        <v>-0.00752892623603071</v>
      </c>
      <c r="D201" s="20" t="n">
        <f aca="false">SQRT(B201^2+C201^2)</f>
        <v>16.2349648971479</v>
      </c>
      <c r="E201" s="32" t="n">
        <f aca="false">20*LOG10(MAX(D201,0.000000000001)/$K$3)</f>
        <v>24.2090270788383</v>
      </c>
    </row>
    <row r="202" customFormat="false" ht="15" hidden="false" customHeight="false" outlineLevel="0" collapsed="false">
      <c r="A202" s="13" t="n">
        <f aca="false">A201+$F$3</f>
        <v>7840</v>
      </c>
      <c r="B202" s="20" t="n">
        <f aca="false">SUMPRODUCT(固有振動数!$Q$6:$Q$22*(1-($A202/固有振動数!$O$6:$O$22)^2)/((1-($A202/固有振動数!$O$6:$O$22)^2)^2+固有振動数!$P$6:$P$22^2))</f>
        <v>16.4562351984606</v>
      </c>
      <c r="C202" s="20" t="n">
        <f aca="false">-SUMPRODUCT(固有振動数!$Q$6:$Q$22*固有振動数!$P$6:$P$22/((1-($A202/固有振動数!$O$6:$O$22)^2)^2+固有振動数!$P$6:$P$22^2))</f>
        <v>-0.00766333981123939</v>
      </c>
      <c r="D202" s="20" t="n">
        <f aca="false">SQRT(B202^2+C202^2)</f>
        <v>16.4562369827926</v>
      </c>
      <c r="E202" s="32" t="n">
        <f aca="false">20*LOG10(MAX(D202,0.000000000001)/$K$3)</f>
        <v>24.3266106582959</v>
      </c>
    </row>
    <row r="203" customFormat="false" ht="15" hidden="false" customHeight="false" outlineLevel="0" collapsed="false">
      <c r="A203" s="13" t="n">
        <f aca="false">A202+$F$3</f>
        <v>7880</v>
      </c>
      <c r="B203" s="20" t="n">
        <f aca="false">SUMPRODUCT(固有振動数!$Q$6:$Q$22*(1-($A203/固有振動数!$O$6:$O$22)^2)/((1-($A203/固有振動数!$O$6:$O$22)^2)^2+固有振動数!$P$6:$P$22^2))</f>
        <v>16.6813155777803</v>
      </c>
      <c r="C203" s="20" t="n">
        <f aca="false">-SUMPRODUCT(固有振動数!$Q$6:$Q$22*固有振動数!$P$6:$P$22/((1-($A203/固有振動数!$O$6:$O$22)^2)^2+固有振動数!$P$6:$P$22^2))</f>
        <v>-0.00781226270434621</v>
      </c>
      <c r="D203" s="20" t="n">
        <f aca="false">SQRT(B203^2+C203^2)</f>
        <v>16.6813174071158</v>
      </c>
      <c r="E203" s="32" t="n">
        <f aca="false">20*LOG10(MAX(D203,0.000000000001)/$K$3)</f>
        <v>24.4446069212955</v>
      </c>
    </row>
    <row r="204" customFormat="false" ht="15" hidden="false" customHeight="false" outlineLevel="0" collapsed="false">
      <c r="A204" s="13" t="n">
        <f aca="false">A203+$F$3</f>
        <v>7920</v>
      </c>
      <c r="B204" s="20" t="n">
        <f aca="false">SUMPRODUCT(固有振動数!$Q$6:$Q$22*(1-($A204/固有振動数!$O$6:$O$22)^2)/((1-($A204/固有振動数!$O$6:$O$22)^2)^2+固有振動数!$P$6:$P$22^2))</f>
        <v>16.9108834929073</v>
      </c>
      <c r="C204" s="20" t="n">
        <f aca="false">-SUMPRODUCT(固有振動数!$Q$6:$Q$22*固有振動数!$P$6:$P$22/((1-($A204/固有振動数!$O$6:$O$22)^2)^2+固有振動数!$P$6:$P$22^2))</f>
        <v>-0.00797671917804543</v>
      </c>
      <c r="D204" s="20" t="n">
        <f aca="false">SQRT(B204^2+C204^2)</f>
        <v>16.9108853741823</v>
      </c>
      <c r="E204" s="32" t="n">
        <f aca="false">20*LOG10(MAX(D204,0.000000000001)/$K$3)</f>
        <v>24.563326916066</v>
      </c>
    </row>
    <row r="205" customFormat="false" ht="15" hidden="false" customHeight="false" outlineLevel="0" collapsed="false">
      <c r="A205" s="13" t="n">
        <f aca="false">A204+$F$3</f>
        <v>7960</v>
      </c>
      <c r="B205" s="20" t="n">
        <f aca="false">SUMPRODUCT(固有振動数!$Q$6:$Q$22*(1-($A205/固有振動数!$O$6:$O$22)^2)/((1-($A205/固有振動数!$O$6:$O$22)^2)^2+固有振動数!$P$6:$P$22^2))</f>
        <v>17.1456575438631</v>
      </c>
      <c r="C205" s="20" t="n">
        <f aca="false">-SUMPRODUCT(固有振動数!$Q$6:$Q$22*固有振動数!$P$6:$P$22/((1-($A205/固有振動数!$O$6:$O$22)^2)^2+固有振動数!$P$6:$P$22^2))</f>
        <v>-0.00815794028086057</v>
      </c>
      <c r="D205" s="20" t="n">
        <f aca="false">SQRT(B205^2+C205^2)</f>
        <v>17.1456594846457</v>
      </c>
      <c r="E205" s="32" t="n">
        <f aca="false">20*LOG10(MAX(D205,0.000000000001)/$K$3)</f>
        <v>24.6830838864637</v>
      </c>
    </row>
    <row r="206" customFormat="false" ht="15" hidden="false" customHeight="false" outlineLevel="0" collapsed="false">
      <c r="A206" s="13" t="n">
        <f aca="false">A205+$F$3</f>
        <v>8000</v>
      </c>
      <c r="B206" s="20" t="n">
        <f aca="false">SUMPRODUCT(固有振動数!$Q$6:$Q$22*(1-($A206/固有振動数!$O$6:$O$22)^2)/((1-($A206/固有振動数!$O$6:$O$22)^2)^2+固有振動数!$P$6:$P$22^2))</f>
        <v>17.3864055667989</v>
      </c>
      <c r="C206" s="20" t="n">
        <f aca="false">-SUMPRODUCT(固有振動数!$Q$6:$Q$22*固有振動数!$P$6:$P$22/((1-($A206/固有振動数!$O$6:$O$22)^2)^2+固有振動数!$P$6:$P$22^2))</f>
        <v>-0.00835739327845528</v>
      </c>
      <c r="D206" s="20" t="n">
        <f aca="false">SQRT(B206^2+C206^2)</f>
        <v>17.3864075754378</v>
      </c>
      <c r="E206" s="32" t="n">
        <f aca="false">20*LOG10(MAX(D206,0.000000000001)/$K$3)</f>
        <v>24.804197124429</v>
      </c>
    </row>
    <row r="207" customFormat="false" ht="15" hidden="false" customHeight="false" outlineLevel="0" collapsed="false">
      <c r="A207" s="13" t="n">
        <f aca="false">A206+$F$3</f>
        <v>8040</v>
      </c>
      <c r="B207" s="20" t="n">
        <f aca="false">SUMPRODUCT(固有振動数!$Q$6:$Q$22*(1-($A207/固有振動数!$O$6:$O$22)^2)/((1-($A207/固有振動数!$O$6:$O$22)^2)^2+固有振動数!$P$6:$P$22^2))</f>
        <v>17.6339557795973</v>
      </c>
      <c r="C207" s="20" t="n">
        <f aca="false">-SUMPRODUCT(固有振動数!$Q$6:$Q$22*固有振動数!$P$6:$P$22/((1-($A207/固有振動数!$O$6:$O$22)^2)^2+固有振動数!$P$6:$P$22^2))</f>
        <v>-0.00857681888625001</v>
      </c>
      <c r="D207" s="20" t="n">
        <f aca="false">SQRT(B207^2+C207^2)</f>
        <v>17.6339578653975</v>
      </c>
      <c r="E207" s="32" t="n">
        <f aca="false">20*LOG10(MAX(D207,0.000000000001)/$K$3)</f>
        <v>24.9269959750736</v>
      </c>
    </row>
    <row r="208" customFormat="false" ht="15" hidden="false" customHeight="false" outlineLevel="0" collapsed="false">
      <c r="A208" s="13" t="n">
        <f aca="false">A207+$F$3</f>
        <v>8080</v>
      </c>
      <c r="B208" s="20" t="n">
        <f aca="false">SUMPRODUCT(固有振動数!$Q$6:$Q$22*(1-($A208/固有振動数!$O$6:$O$22)^2)/((1-($A208/固有振動数!$O$6:$O$22)^2)^2+固有振動数!$P$6:$P$22^2))</f>
        <v>17.8892096103555</v>
      </c>
      <c r="C208" s="20" t="n">
        <f aca="false">-SUMPRODUCT(固有振動数!$Q$6:$Q$22*固有振動数!$P$6:$P$22/((1-($A208/固有振動数!$O$6:$O$22)^2)^2+固有振動数!$P$6:$P$22^2))</f>
        <v>-0.00881827814337259</v>
      </c>
      <c r="D208" s="20" t="n">
        <f aca="false">SQRT(B208^2+C208^2)</f>
        <v>17.8892117837893</v>
      </c>
      <c r="E208" s="32" t="n">
        <f aca="false">20*LOG10(MAX(D208,0.000000000001)/$K$3)</f>
        <v>25.0518241109649</v>
      </c>
    </row>
    <row r="209" customFormat="false" ht="15" hidden="false" customHeight="false" outlineLevel="0" collapsed="false">
      <c r="A209" s="13" t="n">
        <f aca="false">A208+$F$3</f>
        <v>8120</v>
      </c>
      <c r="B209" s="20" t="n">
        <f aca="false">SUMPRODUCT(固有振動数!$Q$6:$Q$22*(1-($A209/固有振動数!$O$6:$O$22)^2)/((1-($A209/固有振動数!$O$6:$O$22)^2)^2+固有振動数!$P$6:$P$22^2))</f>
        <v>18.1531566737358</v>
      </c>
      <c r="C209" s="20" t="n">
        <f aca="false">-SUMPRODUCT(固有振動数!$Q$6:$Q$22*固有振動数!$P$6:$P$22/((1-($A209/固有振動数!$O$6:$O$22)^2)^2+固有振動数!$P$6:$P$22^2))</f>
        <v>-0.00908421137825412</v>
      </c>
      <c r="D209" s="20" t="n">
        <f aca="false">SQRT(B209^2+C209^2)</f>
        <v>18.1531589466984</v>
      </c>
      <c r="E209" s="32" t="n">
        <f aca="false">20*LOG10(MAX(D209,0.000000000001)/$K$3)</f>
        <v>25.1790442058946</v>
      </c>
    </row>
    <row r="210" customFormat="false" ht="15" hidden="false" customHeight="false" outlineLevel="0" collapsed="false">
      <c r="A210" s="13" t="n">
        <f aca="false">A209+$F$3</f>
        <v>8160</v>
      </c>
      <c r="B210" s="20" t="n">
        <f aca="false">SUMPRODUCT(固有振動数!$Q$6:$Q$22*(1-($A210/固有振動数!$O$6:$O$22)^2)/((1-($A210/固有振動数!$O$6:$O$22)^2)^2+固有振動数!$P$6:$P$22^2))</f>
        <v>18.4268924785512</v>
      </c>
      <c r="C210" s="20" t="n">
        <f aca="false">-SUMPRODUCT(固有振動数!$Q$6:$Q$22*固有振動数!$P$6:$P$22/((1-($A210/固有振動数!$O$6:$O$22)^2)^2+固有振動数!$P$6:$P$22^2))</f>
        <v>-0.00937751253499015</v>
      </c>
      <c r="D210" s="20" t="n">
        <f aca="false">SQRT(B210^2+C210^2)</f>
        <v>18.4268948646762</v>
      </c>
      <c r="E210" s="32" t="n">
        <f aca="false">20*LOG10(MAX(D210,0.000000000001)/$K$3)</f>
        <v>25.3090431593435</v>
      </c>
    </row>
    <row r="211" customFormat="false" ht="15" hidden="false" customHeight="false" outlineLevel="0" collapsed="false">
      <c r="A211" s="13" t="n">
        <f aca="false">A210+$F$3</f>
        <v>8200</v>
      </c>
      <c r="B211" s="20" t="n">
        <f aca="false">SUMPRODUCT(固有振動数!$Q$6:$Q$22*(1-($A211/固有振動数!$O$6:$O$22)^2)/((1-($A211/固有振動数!$O$6:$O$22)^2)^2+固有振動数!$P$6:$P$22^2))</f>
        <v>18.7116396091979</v>
      </c>
      <c r="C211" s="20" t="n">
        <f aca="false">-SUMPRODUCT(固有振動数!$Q$6:$Q$22*固有振動数!$P$6:$P$22/((1-($A211/固有振動数!$O$6:$O$22)^2)^2+固有振動数!$P$6:$P$22^2))</f>
        <v>-0.00970162324375594</v>
      </c>
      <c r="D211" s="20" t="n">
        <f aca="false">SQRT(B211^2+C211^2)</f>
        <v>18.7116421242497</v>
      </c>
      <c r="E211" s="32" t="n">
        <f aca="false">20*LOG10(MAX(D211,0.000000000001)/$K$3)</f>
        <v>25.4422380527322</v>
      </c>
    </row>
    <row r="212" customFormat="false" ht="15" hidden="false" customHeight="false" outlineLevel="0" collapsed="false">
      <c r="A212" s="13" t="n">
        <f aca="false">A211+$F$3</f>
        <v>8240</v>
      </c>
      <c r="B212" s="20" t="n">
        <f aca="false">SUMPRODUCT(固有振動数!$Q$6:$Q$22*(1-($A212/固有振動数!$O$6:$O$22)^2)/((1-($A212/固有振動数!$O$6:$O$22)^2)^2+固有振動数!$P$6:$P$22^2))</f>
        <v>19.0087733386295</v>
      </c>
      <c r="C212" s="20" t="n">
        <f aca="false">-SUMPRODUCT(固有振動数!$Q$6:$Q$22*固有振動数!$P$6:$P$22/((1-($A212/固有振動数!$O$6:$O$22)^2)^2+固有振動数!$P$6:$P$22^2))</f>
        <v>-0.0100606525545026</v>
      </c>
      <c r="D212" s="20" t="n">
        <f aca="false">SQRT(B212^2+C212^2)</f>
        <v>19.0087760009981</v>
      </c>
      <c r="E212" s="32" t="n">
        <f aca="false">20*LOG10(MAX(D212,0.000000000001)/$K$3)</f>
        <v>25.5790830599533</v>
      </c>
    </row>
    <row r="213" customFormat="false" ht="15" hidden="false" customHeight="false" outlineLevel="0" collapsed="false">
      <c r="A213" s="13" t="n">
        <f aca="false">A212+$F$3</f>
        <v>8280</v>
      </c>
      <c r="B213" s="20" t="n">
        <f aca="false">SUMPRODUCT(固有振動数!$Q$6:$Q$22*(1-($A213/固有振動数!$O$6:$O$22)^2)/((1-($A213/固有振動数!$O$6:$O$22)^2)^2+固有振動数!$P$6:$P$22^2))</f>
        <v>19.3198529230766</v>
      </c>
      <c r="C213" s="20" t="n">
        <f aca="false">-SUMPRODUCT(固有振動数!$Q$6:$Q$22*固有振動数!$P$6:$P$22/((1-($A213/固有振動数!$O$6:$O$22)^2)^2+固有振動数!$P$6:$P$22^2))</f>
        <v>-0.0104595303975615</v>
      </c>
      <c r="D213" s="20" t="n">
        <f aca="false">SQRT(B213^2+C213^2)</f>
        <v>19.3198557544069</v>
      </c>
      <c r="E213" s="32" t="n">
        <f aca="false">20*LOG10(MAX(D213,0.000000000001)/$K$3)</f>
        <v>25.7200775913835</v>
      </c>
    </row>
    <row r="214" customFormat="false" ht="15" hidden="false" customHeight="false" outlineLevel="0" collapsed="false">
      <c r="A214" s="13" t="n">
        <f aca="false">A213+$F$3</f>
        <v>8320</v>
      </c>
      <c r="B214" s="20" t="n">
        <f aca="false">SUMPRODUCT(固有振動数!$Q$6:$Q$22*(1-($A214/固有振動数!$O$6:$O$22)^2)/((1-($A214/固有振動数!$O$6:$O$22)^2)^2+固有振動数!$P$6:$P$22^2))</f>
        <v>19.6466602299925</v>
      </c>
      <c r="C214" s="20" t="n">
        <f aca="false">-SUMPRODUCT(固有振動数!$Q$6:$Q$22*固有振動数!$P$6:$P$22/((1-($A214/固有振動数!$O$6:$O$22)^2)^2+固有振動数!$P$6:$P$22^2))</f>
        <v>-0.0109042058673675</v>
      </c>
      <c r="D214" s="20" t="n">
        <f aca="false">SQRT(B214^2+C214^2)</f>
        <v>19.6466632559952</v>
      </c>
      <c r="E214" s="32" t="n">
        <f aca="false">20*LOG10(MAX(D214,0.000000000001)/$K$3)</f>
        <v>25.8657760280098</v>
      </c>
    </row>
    <row r="215" customFormat="false" ht="15" hidden="false" customHeight="false" outlineLevel="0" collapsed="false">
      <c r="A215" s="13" t="n">
        <f aca="false">A214+$F$3</f>
        <v>8360</v>
      </c>
      <c r="B215" s="20" t="n">
        <f aca="false">SUMPRODUCT(固有振動数!$Q$6:$Q$22*(1-($A215/固有振動数!$O$6:$O$22)^2)/((1-($A215/固有振動数!$O$6:$O$22)^2)^2+固有振動数!$P$6:$P$22^2))</f>
        <v>19.9912479068742</v>
      </c>
      <c r="C215" s="20" t="n">
        <f aca="false">-SUMPRODUCT(固有振動数!$Q$6:$Q$22*固有振動数!$P$6:$P$22/((1-($A215/固有振動数!$O$6:$O$22)^2)^2+固有振動数!$P$6:$P$22^2))</f>
        <v>-0.011401905771691</v>
      </c>
      <c r="D215" s="20" t="n">
        <f aca="false">SQRT(B215^2+C215^2)</f>
        <v>19.9912511583832</v>
      </c>
      <c r="E215" s="32" t="n">
        <f aca="false">20*LOG10(MAX(D215,0.000000000001)/$K$3)</f>
        <v>26.0167995083533</v>
      </c>
    </row>
    <row r="216" customFormat="false" ht="15" hidden="false" customHeight="false" outlineLevel="0" collapsed="false">
      <c r="A216" s="13" t="n">
        <f aca="false">A215+$F$3</f>
        <v>8400</v>
      </c>
      <c r="B216" s="20" t="n">
        <f aca="false">SUMPRODUCT(固有振動数!$Q$6:$Q$22*(1-($A216/固有振動数!$O$6:$O$22)^2)/((1-($A216/固有振動数!$O$6:$O$22)^2)^2+固有振動数!$P$6:$P$22^2))</f>
        <v>20.3560000784585</v>
      </c>
      <c r="C216" s="20" t="n">
        <f aca="false">-SUMPRODUCT(固有振動数!$Q$6:$Q$22*固有振動数!$P$6:$P$22/((1-($A216/固有振動数!$O$6:$O$22)^2)^2+固有振動数!$P$6:$P$22^2))</f>
        <v>-0.0119614752058416</v>
      </c>
      <c r="D216" s="20" t="n">
        <f aca="false">SQRT(B216^2+C216^2)</f>
        <v>20.3560035928247</v>
      </c>
      <c r="E216" s="32" t="n">
        <f aca="false">20*LOG10(MAX(D216,0.000000000001)/$K$3)</f>
        <v>26.1738503770805</v>
      </c>
    </row>
    <row r="217" customFormat="false" ht="15" hidden="false" customHeight="false" outlineLevel="0" collapsed="false">
      <c r="A217" s="13" t="n">
        <f aca="false">A216+$F$3</f>
        <v>8440</v>
      </c>
      <c r="B217" s="20" t="n">
        <f aca="false">SUMPRODUCT(固有振動数!$Q$6:$Q$22*(1-($A217/固有振動数!$O$6:$O$22)^2)/((1-($A217/固有振動数!$O$6:$O$22)^2)^2+固有振動数!$P$6:$P$22^2))</f>
        <v>20.7437096674237</v>
      </c>
      <c r="C217" s="20" t="n">
        <f aca="false">-SUMPRODUCT(固有振動数!$Q$6:$Q$22*固有振動数!$P$6:$P$22/((1-($A217/固有振動数!$O$6:$O$22)^2)^2+固有振動数!$P$6:$P$22^2))</f>
        <v>-0.0125938312320363</v>
      </c>
      <c r="D217" s="20" t="n">
        <f aca="false">SQRT(B217^2+C217^2)</f>
        <v>20.7437134903795</v>
      </c>
      <c r="E217" s="32" t="n">
        <f aca="false">20*LOG10(MAX(D217,0.000000000001)/$K$3)</f>
        <v>26.3377301076146</v>
      </c>
    </row>
    <row r="218" customFormat="false" ht="15" hidden="false" customHeight="false" outlineLevel="0" collapsed="false">
      <c r="A218" s="13" t="n">
        <f aca="false">A217+$F$3</f>
        <v>8480</v>
      </c>
      <c r="B218" s="20" t="n">
        <f aca="false">SUMPRODUCT(固有振動数!$Q$6:$Q$22*(1-($A218/固有振動数!$O$6:$O$22)^2)/((1-($A218/固有振動数!$O$6:$O$22)^2)^2+固有振動数!$P$6:$P$22^2))</f>
        <v>21.1576780293533</v>
      </c>
      <c r="C218" s="20" t="n">
        <f aca="false">-SUMPRODUCT(固有振動数!$Q$6:$Q$22*固有振動数!$P$6:$P$22/((1-($A218/固有振動数!$O$6:$O$22)^2)^2+固有振動数!$P$6:$P$22^2))</f>
        <v>-0.0133125747210241</v>
      </c>
      <c r="D218" s="20" t="n">
        <f aca="false">SQRT(B218^2+C218^2)</f>
        <v>21.1576822175403</v>
      </c>
      <c r="E218" s="32" t="n">
        <f aca="false">20*LOG10(MAX(D218,0.000000000001)/$K$3)</f>
        <v>26.5093617972573</v>
      </c>
    </row>
    <row r="219" customFormat="false" ht="15" hidden="false" customHeight="false" outlineLevel="0" collapsed="false">
      <c r="A219" s="13" t="n">
        <f aca="false">A218+$F$3</f>
        <v>8520</v>
      </c>
      <c r="B219" s="20" t="n">
        <f aca="false">SUMPRODUCT(固有振動数!$Q$6:$Q$22*(1-($A219/固有振動数!$O$6:$O$22)^2)/((1-($A219/固有振動数!$O$6:$O$22)^2)^2+固有振動数!$P$6:$P$22^2))</f>
        <v>21.6018449272043</v>
      </c>
      <c r="C219" s="20" t="n">
        <f aca="false">-SUMPRODUCT(固有振動数!$Q$6:$Q$22*固有振動数!$P$6:$P$22/((1-($A219/固有振動数!$O$6:$O$22)^2)^2+固有振動数!$P$6:$P$22^2))</f>
        <v>-0.0141348267424888</v>
      </c>
      <c r="D219" s="20" t="n">
        <f aca="false">SQRT(B219^2+C219^2)</f>
        <v>21.6018495516543</v>
      </c>
      <c r="E219" s="32" t="n">
        <f aca="false">20*LOG10(MAX(D219,0.000000000001)/$K$3)</f>
        <v>26.6898187412495</v>
      </c>
    </row>
    <row r="220" customFormat="false" ht="15" hidden="false" customHeight="false" outlineLevel="0" collapsed="false">
      <c r="A220" s="13" t="n">
        <f aca="false">A219+$F$3</f>
        <v>8560</v>
      </c>
      <c r="B220" s="20" t="n">
        <f aca="false">SUMPRODUCT(固有振動数!$Q$6:$Q$22*(1-($A220/固有振動数!$O$6:$O$22)^2)/((1-($A220/固有振動数!$O$6:$O$22)^2)^2+固有振動数!$P$6:$P$22^2))</f>
        <v>22.0809603445349</v>
      </c>
      <c r="C220" s="20" t="n">
        <f aca="false">-SUMPRODUCT(固有振動数!$Q$6:$Q$22*固有振動数!$P$6:$P$22/((1-($A220/固有振動数!$O$6:$O$22)^2)^2+固有振動数!$P$6:$P$22^2))</f>
        <v>-0.0150823890673328</v>
      </c>
      <c r="D220" s="20" t="n">
        <f aca="false">SQRT(B220^2+C220^2)</f>
        <v>22.0809654955435</v>
      </c>
      <c r="E220" s="32" t="n">
        <f aca="false">20*LOG10(MAX(D220,0.000000000001)/$K$3)</f>
        <v>26.8803611820667</v>
      </c>
    </row>
    <row r="221" customFormat="false" ht="15" hidden="false" customHeight="false" outlineLevel="0" collapsed="false">
      <c r="A221" s="13" t="n">
        <f aca="false">A220+$F$3</f>
        <v>8600</v>
      </c>
      <c r="B221" s="20" t="n">
        <f aca="false">SUMPRODUCT(固有振動数!$Q$6:$Q$22*(1-($A221/固有振動数!$O$6:$O$22)^2)/((1-($A221/固有振動数!$O$6:$O$22)^2)^2+固有振動数!$P$6:$P$22^2))</f>
        <v>22.6008149037557</v>
      </c>
      <c r="C221" s="20" t="n">
        <f aca="false">-SUMPRODUCT(固有振動数!$Q$6:$Q$22*固有振動数!$P$6:$P$22/((1-($A221/固有振動数!$O$6:$O$22)^2)^2+固有振動数!$P$6:$P$22^2))</f>
        <v>-0.0161833810371495</v>
      </c>
      <c r="D221" s="20" t="n">
        <f aca="false">SQRT(B221^2+C221^2)</f>
        <v>22.6008206978341</v>
      </c>
      <c r="E221" s="32" t="n">
        <f aca="false">20*LOG10(MAX(D221,0.000000000001)/$K$3)</f>
        <v>27.0824841971686</v>
      </c>
    </row>
    <row r="222" customFormat="false" ht="15" hidden="false" customHeight="false" outlineLevel="0" collapsed="false">
      <c r="A222" s="13" t="n">
        <f aca="false">A221+$F$3</f>
        <v>8640</v>
      </c>
      <c r="B222" s="20" t="n">
        <f aca="false">SUMPRODUCT(固有振動数!$Q$6:$Q$22*(1-($A222/固有振動数!$O$6:$O$22)^2)/((1-($A222/固有振動数!$O$6:$O$22)^2)^2+固有振動数!$P$6:$P$22^2))</f>
        <v>23.1685538067264</v>
      </c>
      <c r="C222" s="20" t="n">
        <f aca="false">-SUMPRODUCT(固有振動数!$Q$6:$Q$22*固有振動数!$P$6:$P$22/((1-($A222/固有振動数!$O$6:$O$22)^2)^2+固有振動数!$P$6:$P$22^2))</f>
        <v>-0.0174745906863674</v>
      </c>
      <c r="D222" s="20" t="n">
        <f aca="false">SQRT(B222^2+C222^2)</f>
        <v>23.1685603967207</v>
      </c>
      <c r="E222" s="32" t="n">
        <f aca="false">20*LOG10(MAX(D222,0.000000000001)/$K$3)</f>
        <v>27.2979809855241</v>
      </c>
    </row>
    <row r="223" customFormat="false" ht="15" hidden="false" customHeight="false" outlineLevel="0" collapsed="false">
      <c r="A223" s="13" t="n">
        <f aca="false">A222+$F$3</f>
        <v>8680</v>
      </c>
      <c r="B223" s="20" t="n">
        <f aca="false">SUMPRODUCT(固有振動数!$Q$6:$Q$22*(1-($A223/固有振動数!$O$6:$O$22)^2)/((1-($A223/固有振動数!$O$6:$O$22)^2)^2+固有振動数!$P$6:$P$22^2))</f>
        <v>23.793112119018</v>
      </c>
      <c r="C223" s="20" t="n">
        <f aca="false">-SUMPRODUCT(固有振動数!$Q$6:$Q$22*固有振動数!$P$6:$P$22/((1-($A223/固有振動数!$O$6:$O$22)^2)^2+固有振動数!$P$6:$P$22^2))</f>
        <v>-0.0190049207353542</v>
      </c>
      <c r="D223" s="20" t="n">
        <f aca="false">SQRT(B223^2+C223^2)</f>
        <v>23.7931197091758</v>
      </c>
      <c r="E223" s="32" t="n">
        <f aca="false">20*LOG10(MAX(D223,0.000000000001)/$K$3)</f>
        <v>27.5290277929539</v>
      </c>
    </row>
    <row r="224" customFormat="false" ht="15" hidden="false" customHeight="false" outlineLevel="0" collapsed="false">
      <c r="A224" s="13" t="n">
        <f aca="false">A223+$F$3</f>
        <v>8720</v>
      </c>
      <c r="B224" s="20" t="n">
        <f aca="false">SUMPRODUCT(固有振動数!$Q$6:$Q$22*(1-($A224/固有振動数!$O$6:$O$22)^2)/((1-($A224/固有振動数!$O$6:$O$22)^2)^2+固有振動数!$P$6:$P$22^2))</f>
        <v>24.4858301698784</v>
      </c>
      <c r="C224" s="20" t="n">
        <f aca="false">-SUMPRODUCT(固有振動数!$Q$6:$Q$22*固有振動数!$P$6:$P$22/((1-($A224/固有振動数!$O$6:$O$22)^2)^2+固有振動数!$P$6:$P$22^2))</f>
        <v>-0.0208405547932408</v>
      </c>
      <c r="D224" s="20" t="n">
        <f aca="false">SQRT(B224^2+C224^2)</f>
        <v>24.4858390388577</v>
      </c>
      <c r="E224" s="32" t="n">
        <f aca="false">20*LOG10(MAX(D224,0.000000000001)/$K$3)</f>
        <v>27.7782998053962</v>
      </c>
    </row>
    <row r="225" customFormat="false" ht="15" hidden="false" customHeight="false" outlineLevel="0" collapsed="false">
      <c r="A225" s="13" t="n">
        <f aca="false">A224+$F$3</f>
        <v>8760</v>
      </c>
      <c r="B225" s="20" t="n">
        <f aca="false">SUMPRODUCT(固有振動数!$Q$6:$Q$22*(1-($A225/固有振動数!$O$6:$O$22)^2)/((1-($A225/固有振動数!$O$6:$O$22)^2)^2+固有振動数!$P$6:$P$22^2))</f>
        <v>25.2613428294483</v>
      </c>
      <c r="C225" s="20" t="n">
        <f aca="false">-SUMPRODUCT(固有振動数!$Q$6:$Q$22*固有振動数!$P$6:$P$22/((1-($A225/固有振動数!$O$6:$O$22)^2)^2+固有振動数!$P$6:$P$22^2))</f>
        <v>-0.0230729021465271</v>
      </c>
      <c r="D225" s="20" t="n">
        <f aca="false">SQRT(B225^2+C225^2)</f>
        <v>25.2613533664713</v>
      </c>
      <c r="E225" s="32" t="n">
        <f aca="false">20*LOG10(MAX(D225,0.000000000001)/$K$3)</f>
        <v>28.0491322797669</v>
      </c>
    </row>
    <row r="226" customFormat="false" ht="15" hidden="false" customHeight="false" outlineLevel="0" collapsed="false">
      <c r="A226" s="13" t="n">
        <f aca="false">A225+$F$3</f>
        <v>8800</v>
      </c>
      <c r="B226" s="20" t="n">
        <f aca="false">SUMPRODUCT(固有振動数!$Q$6:$Q$22*(1-($A226/固有振動数!$O$6:$O$22)^2)/((1-($A226/固有振動数!$O$6:$O$22)^2)^2+固有振動数!$P$6:$P$22^2))</f>
        <v>26.138896749097</v>
      </c>
      <c r="C226" s="20" t="n">
        <f aca="false">-SUMPRODUCT(固有振動数!$Q$6:$Q$22*固有振動数!$P$6:$P$22/((1-($A226/固有振動数!$O$6:$O$22)^2)^2+固有振動数!$P$6:$P$22^2))</f>
        <v>-0.0258311735337125</v>
      </c>
      <c r="D226" s="20" t="n">
        <f aca="false">SQRT(B226^2+C226^2)</f>
        <v>26.1389095126304</v>
      </c>
      <c r="E226" s="32" t="n">
        <f aca="false">20*LOG10(MAX(D226,0.000000000001)/$K$3)</f>
        <v>28.3457493064162</v>
      </c>
    </row>
    <row r="227" customFormat="false" ht="15" hidden="false" customHeight="false" outlineLevel="0" collapsed="false">
      <c r="A227" s="13" t="n">
        <f aca="false">A226+$F$3</f>
        <v>8840</v>
      </c>
      <c r="B227" s="20" t="n">
        <f aca="false">SUMPRODUCT(固有振動数!$Q$6:$Q$22*(1-($A227/固有振動数!$O$6:$O$22)^2)/((1-($A227/固有振動数!$O$6:$O$22)^2)^2+固有振動数!$P$6:$P$22^2))</f>
        <v>27.1443574799436</v>
      </c>
      <c r="C227" s="20" t="n">
        <f aca="false">-SUMPRODUCT(固有振動数!$Q$6:$Q$22*固有振動数!$P$6:$P$22/((1-($A227/固有振動数!$O$6:$O$22)^2)^2+固有振動数!$P$6:$P$22^2))</f>
        <v>-0.0293029563368773</v>
      </c>
      <c r="D227" s="20" t="n">
        <f aca="false">SQRT(B227^2+C227^2)</f>
        <v>27.1443732965457</v>
      </c>
      <c r="E227" s="32" t="n">
        <f aca="false">20*LOG10(MAX(D227,0.000000000001)/$K$3)</f>
        <v>28.6735963841965</v>
      </c>
    </row>
    <row r="228" customFormat="false" ht="15" hidden="false" customHeight="false" outlineLevel="0" collapsed="false">
      <c r="A228" s="13" t="n">
        <f aca="false">A227+$F$3</f>
        <v>8880</v>
      </c>
      <c r="B228" s="20" t="n">
        <f aca="false">SUMPRODUCT(固有振動数!$Q$6:$Q$22*(1-($A228/固有振動数!$O$6:$O$22)^2)/((1-($A228/固有振動数!$O$6:$O$22)^2)^2+固有振動数!$P$6:$P$22^2))</f>
        <v>28.3133692778365</v>
      </c>
      <c r="C228" s="20" t="n">
        <f aca="false">-SUMPRODUCT(固有振動数!$Q$6:$Q$22*固有振動数!$P$6:$P$22/((1-($A228/固有振動数!$O$6:$O$22)^2)^2+固有振動数!$P$6:$P$22^2))</f>
        <v>-0.0337691897122604</v>
      </c>
      <c r="D228" s="20" t="n">
        <f aca="false">SQRT(B228^2+C228^2)</f>
        <v>28.3133894159867</v>
      </c>
      <c r="E228" s="32" t="n">
        <f aca="false">20*LOG10(MAX(D228,0.000000000001)/$K$3)</f>
        <v>29.0398372435712</v>
      </c>
    </row>
    <row r="229" customFormat="false" ht="15" hidden="false" customHeight="false" outlineLevel="0" collapsed="false">
      <c r="A229" s="13" t="n">
        <f aca="false">A228+$F$3</f>
        <v>8920</v>
      </c>
      <c r="B229" s="20" t="n">
        <f aca="false">SUMPRODUCT(固有振動数!$Q$6:$Q$22*(1-($A229/固有振動数!$O$6:$O$22)^2)/((1-($A229/固有振動数!$O$6:$O$22)^2)^2+固有振動数!$P$6:$P$22^2))</f>
        <v>29.6965230829907</v>
      </c>
      <c r="C229" s="20" t="n">
        <f aca="false">-SUMPRODUCT(固有振動数!$Q$6:$Q$22*固有振動数!$P$6:$P$22/((1-($A229/固有振動数!$O$6:$O$22)^2)^2+固有振動数!$P$6:$P$22^2))</f>
        <v>-0.0396663401283256</v>
      </c>
      <c r="D229" s="20" t="n">
        <f aca="false">SQRT(B229^2+C229^2)</f>
        <v>29.6965495746077</v>
      </c>
      <c r="E229" s="32" t="n">
        <f aca="false">20*LOG10(MAX(D229,0.000000000001)/$K$3)</f>
        <v>29.4541198363377</v>
      </c>
    </row>
    <row r="230" customFormat="false" ht="15" hidden="false" customHeight="false" outlineLevel="0" collapsed="false">
      <c r="A230" s="13" t="n">
        <f aca="false">A229+$F$3</f>
        <v>8960</v>
      </c>
      <c r="B230" s="20" t="n">
        <f aca="false">SUMPRODUCT(固有振動数!$Q$6:$Q$22*(1-($A230/固有振動数!$O$6:$O$22)^2)/((1-($A230/固有振動数!$O$6:$O$22)^2)^2+固有振動数!$P$6:$P$22^2))</f>
        <v>31.3682002246855</v>
      </c>
      <c r="C230" s="20" t="n">
        <f aca="false">-SUMPRODUCT(固有振動数!$Q$6:$Q$22*固有振動数!$P$6:$P$22/((1-($A230/固有振動数!$O$6:$O$22)^2)^2+固有振動数!$P$6:$P$22^2))</f>
        <v>-0.047702970368527</v>
      </c>
      <c r="D230" s="20" t="n">
        <f aca="false">SQRT(B230^2+C230^2)</f>
        <v>31.3682364966433</v>
      </c>
      <c r="E230" s="32" t="n">
        <f aca="false">20*LOG10(MAX(D230,0.000000000001)/$K$3)</f>
        <v>29.9298020721985</v>
      </c>
    </row>
    <row r="231" customFormat="false" ht="15" hidden="false" customHeight="false" outlineLevel="0" collapsed="false">
      <c r="A231" s="13" t="n">
        <f aca="false">A230+$F$3</f>
        <v>9000</v>
      </c>
      <c r="B231" s="20" t="n">
        <f aca="false">SUMPRODUCT(固有振動数!$Q$6:$Q$22*(1-($A231/固有振動数!$O$6:$O$22)^2)/((1-($A231/固有振動数!$O$6:$O$22)^2)^2+固有振動数!$P$6:$P$22^2))</f>
        <v>33.4425555515109</v>
      </c>
      <c r="C231" s="20" t="n">
        <f aca="false">-SUMPRODUCT(固有振動数!$Q$6:$Q$22*固有振動数!$P$6:$P$22/((1-($A231/固有振動数!$O$6:$O$22)^2)^2+固有振動数!$P$6:$P$22^2))</f>
        <v>-0.0590928108884876</v>
      </c>
      <c r="D231" s="20" t="n">
        <f aca="false">SQRT(B231^2+C231^2)</f>
        <v>33.4426077598053</v>
      </c>
      <c r="E231" s="32" t="n">
        <f aca="false">20*LOG10(MAX(D231,0.000000000001)/$K$3)</f>
        <v>30.4860027028135</v>
      </c>
    </row>
    <row r="232" customFormat="false" ht="15" hidden="false" customHeight="false" outlineLevel="0" collapsed="false">
      <c r="A232" s="13" t="n">
        <f aca="false">A231+$F$3</f>
        <v>9040</v>
      </c>
      <c r="B232" s="20" t="n">
        <f aca="false">SUMPRODUCT(固有振動数!$Q$6:$Q$22*(1-($A232/固有振動数!$O$6:$O$22)^2)/((1-($A232/固有振動数!$O$6:$O$22)^2)^2+固有振動数!$P$6:$P$22^2))</f>
        <v>36.1044152121358</v>
      </c>
      <c r="C232" s="20" t="n">
        <f aca="false">-SUMPRODUCT(固有振動数!$Q$6:$Q$22*固有振動数!$P$6:$P$22/((1-($A232/固有振動数!$O$6:$O$22)^2)^2+固有振動数!$P$6:$P$22^2))</f>
        <v>-0.0760593583615842</v>
      </c>
      <c r="D232" s="20" t="n">
        <f aca="false">SQRT(B232^2+C232^2)</f>
        <v>36.1044953272622</v>
      </c>
      <c r="E232" s="32" t="n">
        <f aca="false">20*LOG10(MAX(D232,0.000000000001)/$K$3)</f>
        <v>31.1512255751105</v>
      </c>
    </row>
    <row r="233" customFormat="false" ht="15" hidden="false" customHeight="false" outlineLevel="0" collapsed="false">
      <c r="A233" s="13" t="n">
        <f aca="false">A232+$F$3</f>
        <v>9080</v>
      </c>
      <c r="B233" s="20" t="n">
        <f aca="false">SUMPRODUCT(固有振動数!$Q$6:$Q$22*(1-($A233/固有振動数!$O$6:$O$22)^2)/((1-($A233/固有振動数!$O$6:$O$22)^2)^2+固有振動数!$P$6:$P$22^2))</f>
        <v>39.6743265047741</v>
      </c>
      <c r="C233" s="20" t="n">
        <f aca="false">-SUMPRODUCT(固有振動数!$Q$6:$Q$22*固有振動数!$P$6:$P$22/((1-($A233/固有振動数!$O$6:$O$22)^2)^2+固有振動数!$P$6:$P$22^2))</f>
        <v>-0.103044692917027</v>
      </c>
      <c r="D233" s="20" t="n">
        <f aca="false">SQRT(B233^2+C233^2)</f>
        <v>39.6744603216749</v>
      </c>
      <c r="E233" s="32" t="n">
        <f aca="false">20*LOG10(MAX(D233,0.000000000001)/$K$3)</f>
        <v>31.9702205581092</v>
      </c>
    </row>
    <row r="234" customFormat="false" ht="15" hidden="false" customHeight="false" outlineLevel="0" collapsed="false">
      <c r="A234" s="13" t="n">
        <f aca="false">A233+$F$3</f>
        <v>9120</v>
      </c>
      <c r="B234" s="20" t="n">
        <f aca="false">SUMPRODUCT(固有振動数!$Q$6:$Q$22*(1-($A234/固有振動数!$O$6:$O$22)^2)/((1-($A234/固有振動数!$O$6:$O$22)^2)^2+固有振動数!$P$6:$P$22^2))</f>
        <v>44.7617638085277</v>
      </c>
      <c r="C234" s="20" t="n">
        <f aca="false">-SUMPRODUCT(固有振動数!$Q$6:$Q$22*固有振動数!$P$6:$P$22/((1-($A234/固有振動数!$O$6:$O$22)^2)^2+固有振動数!$P$6:$P$22^2))</f>
        <v>-0.150019884749239</v>
      </c>
      <c r="D234" s="20" t="n">
        <f aca="false">SQRT(B234^2+C234^2)</f>
        <v>44.7620152050401</v>
      </c>
      <c r="E234" s="32" t="n">
        <f aca="false">20*LOG10(MAX(D234,0.000000000001)/$K$3)</f>
        <v>33.0181926083898</v>
      </c>
    </row>
    <row r="235" customFormat="false" ht="15" hidden="false" customHeight="false" outlineLevel="0" collapsed="false">
      <c r="A235" s="13" t="n">
        <f aca="false">A234+$F$3</f>
        <v>9160</v>
      </c>
      <c r="B235" s="20" t="n">
        <f aca="false">SUMPRODUCT(固有振動数!$Q$6:$Q$22*(1-($A235/固有振動数!$O$6:$O$22)^2)/((1-($A235/固有振動数!$O$6:$O$22)^2)^2+固有振動数!$P$6:$P$22^2))</f>
        <v>52.6865729727319</v>
      </c>
      <c r="C235" s="20" t="n">
        <f aca="false">-SUMPRODUCT(固有振動数!$Q$6:$Q$22*固有振動数!$P$6:$P$22/((1-($A235/固有振動数!$O$6:$O$22)^2)^2+固有振動数!$P$6:$P$22^2))</f>
        <v>-0.243412788735294</v>
      </c>
      <c r="D235" s="20" t="n">
        <f aca="false">SQRT(B235^2+C235^2)</f>
        <v>52.6871352551714</v>
      </c>
      <c r="E235" s="32" t="n">
        <f aca="false">20*LOG10(MAX(D235,0.000000000001)/$K$3)</f>
        <v>34.4340917085238</v>
      </c>
    </row>
    <row r="236" customFormat="false" ht="15" hidden="false" customHeight="false" outlineLevel="0" collapsed="false">
      <c r="A236" s="13" t="n">
        <f aca="false">A235+$F$3</f>
        <v>9200</v>
      </c>
      <c r="B236" s="20" t="n">
        <f aca="false">SUMPRODUCT(固有振動数!$Q$6:$Q$22*(1-($A236/固有振動数!$O$6:$O$22)^2)/((1-($A236/固有振動数!$O$6:$O$22)^2)^2+固有振動数!$P$6:$P$22^2))</f>
        <v>66.9423712113066</v>
      </c>
      <c r="C236" s="20" t="n">
        <f aca="false">-SUMPRODUCT(固有振動数!$Q$6:$Q$22*固有振動数!$P$6:$P$22/((1-($A236/固有振動数!$O$6:$O$22)^2)^2+固有振動数!$P$6:$P$22^2))</f>
        <v>-0.474046337079135</v>
      </c>
      <c r="D236" s="20" t="n">
        <f aca="false">SQRT(B236^2+C236^2)</f>
        <v>66.9440496483598</v>
      </c>
      <c r="E236" s="32" t="n">
        <f aca="false">20*LOG10(MAX(D236,0.000000000001)/$K$3)</f>
        <v>36.5142396121052</v>
      </c>
    </row>
    <row r="237" customFormat="false" ht="15" hidden="false" customHeight="false" outlineLevel="0" collapsed="false">
      <c r="A237" s="13" t="n">
        <f aca="false">A236+$F$3</f>
        <v>9240</v>
      </c>
      <c r="B237" s="20" t="n">
        <f aca="false">SUMPRODUCT(固有振動数!$Q$6:$Q$22*(1-($A237/固有振動数!$O$6:$O$22)^2)/((1-($A237/固有振動数!$O$6:$O$22)^2)^2+固有振動数!$P$6:$P$22^2))</f>
        <v>100.812708913433</v>
      </c>
      <c r="C237" s="20" t="n">
        <f aca="false">-SUMPRODUCT(固有振動数!$Q$6:$Q$22*固有振動数!$P$6:$P$22/((1-($A237/固有振動数!$O$6:$O$22)^2)^2+固有振動数!$P$6:$P$22^2))</f>
        <v>-1.34708617123486</v>
      </c>
      <c r="D237" s="20" t="n">
        <f aca="false">SQRT(B237^2+C237^2)</f>
        <v>100.82170857319</v>
      </c>
      <c r="E237" s="32" t="n">
        <f aca="false">20*LOG10(MAX(D237,0.000000000001)/$K$3)</f>
        <v>40.0710810585554</v>
      </c>
    </row>
    <row r="238" customFormat="false" ht="15" hidden="false" customHeight="false" outlineLevel="0" collapsed="false">
      <c r="A238" s="13" t="n">
        <f aca="false">A237+$F$3</f>
        <v>9280</v>
      </c>
      <c r="B238" s="20" t="n">
        <f aca="false">SUMPRODUCT(固有振動数!$Q$6:$Q$22*(1-($A238/固有振動数!$O$6:$O$22)^2)/((1-($A238/固有振動数!$O$6:$O$22)^2)^2+固有振動数!$P$6:$P$22^2))</f>
        <v>291.695193975253</v>
      </c>
      <c r="C238" s="20" t="n">
        <f aca="false">-SUMPRODUCT(固有振動数!$Q$6:$Q$22*固有振動数!$P$6:$P$22/((1-($A238/固有振動数!$O$6:$O$22)^2)^2+固有振動数!$P$6:$P$22^2))</f>
        <v>-14.8853656449947</v>
      </c>
      <c r="D238" s="20" t="n">
        <f aca="false">SQRT(B238^2+C238^2)</f>
        <v>292.074751217296</v>
      </c>
      <c r="E238" s="32" t="n">
        <f aca="false">20*LOG10(MAX(D238,0.000000000001)/$K$3)</f>
        <v>49.3098803088685</v>
      </c>
    </row>
    <row r="239" customFormat="false" ht="15" hidden="false" customHeight="false" outlineLevel="0" collapsed="false">
      <c r="A239" s="13" t="n">
        <f aca="false">A238+$F$3</f>
        <v>9320</v>
      </c>
      <c r="B239" s="20" t="n">
        <f aca="false">SUMPRODUCT(固有振動数!$Q$6:$Q$22*(1-($A239/固有振動数!$O$6:$O$22)^2)/((1-($A239/固有振動数!$O$6:$O$22)^2)^2+固有振動数!$P$6:$P$22^2))</f>
        <v>-182.124729111538</v>
      </c>
      <c r="C239" s="20" t="n">
        <f aca="false">-SUMPRODUCT(固有振動数!$Q$6:$Q$22*固有振動数!$P$6:$P$22/((1-($A239/固有振動数!$O$6:$O$22)^2)^2+固有振動数!$P$6:$P$22^2))</f>
        <v>-8.17354617899675</v>
      </c>
      <c r="D239" s="20" t="n">
        <f aca="false">SQRT(B239^2+C239^2)</f>
        <v>182.30804647928</v>
      </c>
      <c r="E239" s="32" t="n">
        <f aca="false">20*LOG10(MAX(D239,0.000000000001)/$K$3)</f>
        <v>45.2161167482427</v>
      </c>
    </row>
    <row r="240" customFormat="false" ht="15" hidden="false" customHeight="false" outlineLevel="0" collapsed="false">
      <c r="A240" s="13" t="n">
        <f aca="false">A239+$F$3</f>
        <v>9360</v>
      </c>
      <c r="B240" s="20" t="n">
        <f aca="false">SUMPRODUCT(固有振動数!$Q$6:$Q$22*(1-($A240/固有振動数!$O$6:$O$22)^2)/((1-($A240/固有振動数!$O$6:$O$22)^2)^2+固有振動数!$P$6:$P$22^2))</f>
        <v>-53.4898951337205</v>
      </c>
      <c r="C240" s="20" t="n">
        <f aca="false">-SUMPRODUCT(固有振動数!$Q$6:$Q$22*固有振動数!$P$6:$P$22/((1-($A240/固有振動数!$O$6:$O$22)^2)^2+固有振動数!$P$6:$P$22^2))</f>
        <v>-1.09507422139667</v>
      </c>
      <c r="D240" s="20" t="n">
        <f aca="false">SQRT(B240^2+C240^2)</f>
        <v>53.5011034369085</v>
      </c>
      <c r="E240" s="32" t="n">
        <f aca="false">20*LOG10(MAX(D240,0.000000000001)/$K$3)</f>
        <v>34.5672547849549</v>
      </c>
    </row>
    <row r="241" customFormat="false" ht="15" hidden="false" customHeight="false" outlineLevel="0" collapsed="false">
      <c r="A241" s="13" t="n">
        <f aca="false">A240+$F$3</f>
        <v>9400</v>
      </c>
      <c r="B241" s="20" t="n">
        <f aca="false">SUMPRODUCT(固有振動数!$Q$6:$Q$22*(1-($A241/固有振動数!$O$6:$O$22)^2)/((1-($A241/固有振動数!$O$6:$O$22)^2)^2+固有振動数!$P$6:$P$22^2))</f>
        <v>-24.4440921382614</v>
      </c>
      <c r="C241" s="20" t="n">
        <f aca="false">-SUMPRODUCT(固有振動数!$Q$6:$Q$22*固有振動数!$P$6:$P$22/((1-($A241/固有振動数!$O$6:$O$22)^2)^2+固有振動数!$P$6:$P$22^2))</f>
        <v>-0.416430459451498</v>
      </c>
      <c r="D241" s="20" t="n">
        <f aca="false">SQRT(B241^2+C241^2)</f>
        <v>24.4476390432977</v>
      </c>
      <c r="E241" s="32" t="n">
        <f aca="false">20*LOG10(MAX(D241,0.000000000001)/$K$3)</f>
        <v>27.764738496206</v>
      </c>
    </row>
    <row r="242" customFormat="false" ht="15" hidden="false" customHeight="false" outlineLevel="0" collapsed="false">
      <c r="A242" s="13" t="n">
        <f aca="false">A241+$F$3</f>
        <v>9440</v>
      </c>
      <c r="B242" s="20" t="n">
        <f aca="false">SUMPRODUCT(固有振動数!$Q$6:$Q$22*(1-($A242/固有振動数!$O$6:$O$22)^2)/((1-($A242/固有振動数!$O$6:$O$22)^2)^2+固有振動数!$P$6:$P$22^2))</f>
        <v>-11.4084100099181</v>
      </c>
      <c r="C242" s="20" t="n">
        <f aca="false">-SUMPRODUCT(固有振動数!$Q$6:$Q$22*固有振動数!$P$6:$P$22/((1-($A242/固有振動数!$O$6:$O$22)^2)^2+固有振動数!$P$6:$P$22^2))</f>
        <v>-0.222375515588472</v>
      </c>
      <c r="D242" s="20" t="n">
        <f aca="false">SQRT(B242^2+C242^2)</f>
        <v>11.4105771030361</v>
      </c>
      <c r="E242" s="32" t="n">
        <f aca="false">20*LOG10(MAX(D242,0.000000000001)/$K$3)</f>
        <v>21.1461521983134</v>
      </c>
    </row>
    <row r="243" customFormat="false" ht="15" hidden="false" customHeight="false" outlineLevel="0" collapsed="false">
      <c r="A243" s="13" t="n">
        <f aca="false">A242+$F$3</f>
        <v>9480</v>
      </c>
      <c r="B243" s="20" t="n">
        <f aca="false">SUMPRODUCT(固有振動数!$Q$6:$Q$22*(1-($A243/固有振動数!$O$6:$O$22)^2)/((1-($A243/固有振動数!$O$6:$O$22)^2)^2+固有振動数!$P$6:$P$22^2))</f>
        <v>-3.86064024025512</v>
      </c>
      <c r="C243" s="20" t="n">
        <f aca="false">-SUMPRODUCT(固有振動数!$Q$6:$Q$22*固有振動数!$P$6:$P$22/((1-($A243/固有振動数!$O$6:$O$22)^2)^2+固有振動数!$P$6:$P$22^2))</f>
        <v>-0.141730553110487</v>
      </c>
      <c r="D243" s="20" t="n">
        <f aca="false">SQRT(B243^2+C243^2)</f>
        <v>3.86324094697213</v>
      </c>
      <c r="E243" s="32" t="n">
        <f aca="false">20*LOG10(MAX(D243,0.000000000001)/$K$3)</f>
        <v>11.7390359111602</v>
      </c>
    </row>
    <row r="244" customFormat="false" ht="15" hidden="false" customHeight="false" outlineLevel="0" collapsed="false">
      <c r="A244" s="13" t="n">
        <f aca="false">A243+$F$3</f>
        <v>9520</v>
      </c>
      <c r="B244" s="20" t="n">
        <f aca="false">SUMPRODUCT(固有振動数!$Q$6:$Q$22*(1-($A244/固有振動数!$O$6:$O$22)^2)/((1-($A244/固有振動数!$O$6:$O$22)^2)^2+固有振動数!$P$6:$P$22^2))</f>
        <v>1.17599704011933</v>
      </c>
      <c r="C244" s="20" t="n">
        <f aca="false">-SUMPRODUCT(固有振動数!$Q$6:$Q$22*固有振動数!$P$6:$P$22/((1-($A244/固有振動数!$O$6:$O$22)^2)^2+固有振動数!$P$6:$P$22^2))</f>
        <v>-0.101164751169916</v>
      </c>
      <c r="D244" s="20" t="n">
        <f aca="false">SQRT(B244^2+C244^2)</f>
        <v>1.18034035144474</v>
      </c>
      <c r="E244" s="32" t="n">
        <f aca="false">20*LOG10(MAX(D244,0.000000000001)/$K$3)</f>
        <v>1.44014508580705</v>
      </c>
    </row>
    <row r="245" customFormat="false" ht="15" hidden="false" customHeight="false" outlineLevel="0" collapsed="false">
      <c r="A245" s="13" t="n">
        <f aca="false">A244+$F$3</f>
        <v>9560</v>
      </c>
      <c r="B245" s="20" t="n">
        <f aca="false">SUMPRODUCT(固有振動数!$Q$6:$Q$22*(1-($A245/固有振動数!$O$6:$O$22)^2)/((1-($A245/固有振動数!$O$6:$O$22)^2)^2+固有振動数!$P$6:$P$22^2))</f>
        <v>4.87173344299331</v>
      </c>
      <c r="C245" s="20" t="n">
        <f aca="false">-SUMPRODUCT(固有振動数!$Q$6:$Q$22*固有振動数!$P$6:$P$22/((1-($A245/固有振動数!$O$6:$O$22)^2)^2+固有振動数!$P$6:$P$22^2))</f>
        <v>-0.0783821105617257</v>
      </c>
      <c r="D245" s="20" t="n">
        <f aca="false">SQRT(B245^2+C245^2)</f>
        <v>4.87236395344555</v>
      </c>
      <c r="E245" s="32" t="n">
        <f aca="false">20*LOG10(MAX(D245,0.000000000001)/$K$3)</f>
        <v>13.754794431041</v>
      </c>
    </row>
    <row r="246" customFormat="false" ht="15" hidden="false" customHeight="false" outlineLevel="0" collapsed="false">
      <c r="A246" s="13" t="n">
        <f aca="false">A245+$F$3</f>
        <v>9600</v>
      </c>
      <c r="B246" s="20" t="n">
        <f aca="false">SUMPRODUCT(固有振動数!$Q$6:$Q$22*(1-($A246/固有振動数!$O$6:$O$22)^2)/((1-($A246/固有振動数!$O$6:$O$22)^2)^2+固有振動数!$P$6:$P$22^2))</f>
        <v>7.78390965005297</v>
      </c>
      <c r="C246" s="20" t="n">
        <f aca="false">-SUMPRODUCT(固有振動数!$Q$6:$Q$22*固有振動数!$P$6:$P$22/((1-($A246/固有振動数!$O$6:$O$22)^2)^2+固有振動数!$P$6:$P$22^2))</f>
        <v>-0.0647780044718357</v>
      </c>
      <c r="D246" s="20" t="n">
        <f aca="false">SQRT(B246^2+C246^2)</f>
        <v>7.78417918794597</v>
      </c>
      <c r="E246" s="32" t="n">
        <f aca="false">20*LOG10(MAX(D246,0.000000000001)/$K$3)</f>
        <v>17.8242564923808</v>
      </c>
    </row>
    <row r="247" customFormat="false" ht="15" hidden="false" customHeight="false" outlineLevel="0" collapsed="false">
      <c r="A247" s="13" t="n">
        <f aca="false">A246+$F$3</f>
        <v>9640</v>
      </c>
      <c r="B247" s="20" t="n">
        <f aca="false">SUMPRODUCT(固有振動数!$Q$6:$Q$22*(1-($A247/固有振動数!$O$6:$O$22)^2)/((1-($A247/固有振動数!$O$6:$O$22)^2)^2+固有振動数!$P$6:$P$22^2))</f>
        <v>10.2158254000231</v>
      </c>
      <c r="C247" s="20" t="n">
        <f aca="false">-SUMPRODUCT(固有振動数!$Q$6:$Q$22*固有振動数!$P$6:$P$22/((1-($A247/固有振動数!$O$6:$O$22)^2)^2+固有振動数!$P$6:$P$22^2))</f>
        <v>-0.056495140875125</v>
      </c>
      <c r="D247" s="20" t="n">
        <f aca="false">SQRT(B247^2+C247^2)</f>
        <v>10.2159816123904</v>
      </c>
      <c r="E247" s="32" t="n">
        <f aca="false">20*LOG10(MAX(D247,0.000000000001)/$K$3)</f>
        <v>20.1856020515039</v>
      </c>
    </row>
    <row r="248" customFormat="false" ht="15" hidden="false" customHeight="false" outlineLevel="0" collapsed="false">
      <c r="A248" s="13" t="n">
        <f aca="false">A247+$F$3</f>
        <v>9680</v>
      </c>
      <c r="B248" s="20" t="n">
        <f aca="false">SUMPRODUCT(固有振動数!$Q$6:$Q$22*(1-($A248/固有振動数!$O$6:$O$22)^2)/((1-($A248/固有振動数!$O$6:$O$22)^2)^2+固有振動数!$P$6:$P$22^2))</f>
        <v>12.3512726555147</v>
      </c>
      <c r="C248" s="20" t="n">
        <f aca="false">-SUMPRODUCT(固有振動数!$Q$6:$Q$22*固有振動数!$P$6:$P$22/((1-($A248/固有振動数!$O$6:$O$22)^2)^2+固有振動数!$P$6:$P$22^2))</f>
        <v>-0.0516351347637477</v>
      </c>
      <c r="D248" s="20" t="n">
        <f aca="false">SQRT(B248^2+C248^2)</f>
        <v>12.3513805867202</v>
      </c>
      <c r="E248" s="32" t="n">
        <f aca="false">20*LOG10(MAX(D248,0.000000000001)/$K$3)</f>
        <v>21.8343100793368</v>
      </c>
    </row>
    <row r="249" customFormat="false" ht="15" hidden="false" customHeight="false" outlineLevel="0" collapsed="false">
      <c r="A249" s="13" t="n">
        <f aca="false">A248+$F$3</f>
        <v>9720</v>
      </c>
      <c r="B249" s="20" t="n">
        <f aca="false">SUMPRODUCT(固有振動数!$Q$6:$Q$22*(1-($A249/固有振動数!$O$6:$O$22)^2)/((1-($A249/固有振動数!$O$6:$O$22)^2)^2+固有振動数!$P$6:$P$22^2))</f>
        <v>14.3135072798026</v>
      </c>
      <c r="C249" s="20" t="n">
        <f aca="false">-SUMPRODUCT(固有振動数!$Q$6:$Q$22*固有振動数!$P$6:$P$22/((1-($A249/固有振動数!$O$6:$O$22)^2)^2+固有振動数!$P$6:$P$22^2))</f>
        <v>-0.0492271079095505</v>
      </c>
      <c r="D249" s="20" t="n">
        <f aca="false">SQRT(B249^2+C249^2)</f>
        <v>14.3135919306482</v>
      </c>
      <c r="E249" s="32" t="n">
        <f aca="false">20*LOG10(MAX(D249,0.000000000001)/$K$3)</f>
        <v>23.1149726331433</v>
      </c>
    </row>
    <row r="250" customFormat="false" ht="15" hidden="false" customHeight="false" outlineLevel="0" collapsed="false">
      <c r="A250" s="13" t="n">
        <f aca="false">A249+$F$3</f>
        <v>9760</v>
      </c>
      <c r="B250" s="20" t="n">
        <f aca="false">SUMPRODUCT(固有振動数!$Q$6:$Q$22*(1-($A250/固有振動数!$O$6:$O$22)^2)/((1-($A250/固有振動数!$O$6:$O$22)^2)^2+固有振動数!$P$6:$P$22^2))</f>
        <v>16.1947634585545</v>
      </c>
      <c r="C250" s="20" t="n">
        <f aca="false">-SUMPRODUCT(固有振動数!$Q$6:$Q$22*固有振動数!$P$6:$P$22/((1-($A250/固有振動数!$O$6:$O$22)^2)^2+固有振動数!$P$6:$P$22^2))</f>
        <v>-0.0488035424974988</v>
      </c>
      <c r="D250" s="20" t="n">
        <f aca="false">SQRT(B250^2+C250^2)</f>
        <v>16.1948369940636</v>
      </c>
      <c r="E250" s="32" t="n">
        <f aca="false">20*LOG10(MAX(D250,0.000000000001)/$K$3)</f>
        <v>24.1875316212556</v>
      </c>
    </row>
    <row r="251" customFormat="false" ht="15" hidden="false" customHeight="false" outlineLevel="0" collapsed="false">
      <c r="A251" s="13" t="n">
        <f aca="false">A250+$F$3</f>
        <v>9800</v>
      </c>
      <c r="B251" s="20" t="n">
        <f aca="false">SUMPRODUCT(固有振動数!$Q$6:$Q$22*(1-($A251/固有振動数!$O$6:$O$22)^2)/((1-($A251/固有振動数!$O$6:$O$22)^2)^2+固有振動数!$P$6:$P$22^2))</f>
        <v>18.0733532388902</v>
      </c>
      <c r="C251" s="20" t="n">
        <f aca="false">-SUMPRODUCT(固有振動数!$Q$6:$Q$22*固有振動数!$P$6:$P$22/((1-($A251/固有振動数!$O$6:$O$22)^2)^2+固有振動数!$P$6:$P$22^2))</f>
        <v>-0.0502230881502901</v>
      </c>
      <c r="D251" s="20" t="n">
        <f aca="false">SQRT(B251^2+C251^2)</f>
        <v>18.0734230199009</v>
      </c>
      <c r="E251" s="32" t="n">
        <f aca="false">20*LOG10(MAX(D251,0.000000000001)/$K$3)</f>
        <v>25.1408082729875</v>
      </c>
    </row>
    <row r="252" customFormat="false" ht="15" hidden="false" customHeight="false" outlineLevel="0" collapsed="false">
      <c r="A252" s="13" t="n">
        <f aca="false">A251+$F$3</f>
        <v>9840</v>
      </c>
      <c r="B252" s="20" t="n">
        <f aca="false">SUMPRODUCT(固有振動数!$Q$6:$Q$22*(1-($A252/固有振動数!$O$6:$O$22)^2)/((1-($A252/固有振動数!$O$6:$O$22)^2)^2+固有振動数!$P$6:$P$22^2))</f>
        <v>20.0258215532343</v>
      </c>
      <c r="C252" s="20" t="n">
        <f aca="false">-SUMPRODUCT(固有振動数!$Q$6:$Q$22*固有振動数!$P$6:$P$22/((1-($A252/固有振動数!$O$6:$O$22)^2)^2+固有振動数!$P$6:$P$22^2))</f>
        <v>-0.0536167314140703</v>
      </c>
      <c r="D252" s="20" t="n">
        <f aca="false">SQRT(B252^2+C252^2)</f>
        <v>20.0258933292843</v>
      </c>
      <c r="E252" s="32" t="n">
        <f aca="false">20*LOG10(MAX(D252,0.000000000001)/$K$3)</f>
        <v>26.031837970107</v>
      </c>
    </row>
    <row r="253" customFormat="false" ht="15" hidden="false" customHeight="false" outlineLevel="0" collapsed="false">
      <c r="A253" s="13" t="n">
        <f aca="false">A252+$F$3</f>
        <v>9880</v>
      </c>
      <c r="B253" s="20" t="n">
        <f aca="false">SUMPRODUCT(固有振動数!$Q$6:$Q$22*(1-($A253/固有振動数!$O$6:$O$22)^2)/((1-($A253/固有振動数!$O$6:$O$22)^2)^2+固有振動数!$P$6:$P$22^2))</f>
        <v>22.1383993466844</v>
      </c>
      <c r="C253" s="20" t="n">
        <f aca="false">-SUMPRODUCT(固有振動数!$Q$6:$Q$22*固有振動数!$P$6:$P$22/((1-($A253/固有振動数!$O$6:$O$22)^2)^2+固有振動数!$P$6:$P$22^2))</f>
        <v>-0.0594226984236268</v>
      </c>
      <c r="D253" s="20" t="n">
        <f aca="false">SQRT(B253^2+C253^2)</f>
        <v>22.138479096143</v>
      </c>
      <c r="E253" s="32" t="n">
        <f aca="false">20*LOG10(MAX(D253,0.000000000001)/$K$3)</f>
        <v>26.9029556345209</v>
      </c>
    </row>
    <row r="254" customFormat="false" ht="15" hidden="false" customHeight="false" outlineLevel="0" collapsed="false">
      <c r="A254" s="13" t="n">
        <f aca="false">A253+$F$3</f>
        <v>9920</v>
      </c>
      <c r="B254" s="20" t="n">
        <f aca="false">SUMPRODUCT(固有振動数!$Q$6:$Q$22*(1-($A254/固有振動数!$O$6:$O$22)^2)/((1-($A254/固有振動数!$O$6:$O$22)^2)^2+固有振動数!$P$6:$P$22^2))</f>
        <v>24.5215399907805</v>
      </c>
      <c r="C254" s="20" t="n">
        <f aca="false">-SUMPRODUCT(固有振動数!$Q$6:$Q$22*固有振動数!$P$6:$P$22/((1-($A254/固有振動数!$O$6:$O$22)^2)^2+固有振動数!$P$6:$P$22^2))</f>
        <v>-0.0685283005877138</v>
      </c>
      <c r="D254" s="20" t="n">
        <f aca="false">SQRT(B254^2+C254^2)</f>
        <v>24.5216357457537</v>
      </c>
      <c r="E254" s="32" t="n">
        <f aca="false">20*LOG10(MAX(D254,0.000000000001)/$K$3)</f>
        <v>27.7909887391626</v>
      </c>
    </row>
    <row r="255" customFormat="false" ht="15" hidden="false" customHeight="false" outlineLevel="0" collapsed="false">
      <c r="A255" s="13" t="n">
        <f aca="false">A254+$F$3</f>
        <v>9960</v>
      </c>
      <c r="B255" s="20" t="n">
        <f aca="false">SUMPRODUCT(固有振動数!$Q$6:$Q$22*(1-($A255/固有振動数!$O$6:$O$22)^2)/((1-($A255/固有振動数!$O$6:$O$22)^2)^2+固有振動数!$P$6:$P$22^2))</f>
        <v>27.3331600169089</v>
      </c>
      <c r="C255" s="20" t="n">
        <f aca="false">-SUMPRODUCT(固有振動数!$Q$6:$Q$22*固有振動数!$P$6:$P$22/((1-($A255/固有振動数!$O$6:$O$22)^2)^2+固有振動数!$P$6:$P$22^2))</f>
        <v>-0.0826060399226171</v>
      </c>
      <c r="D255" s="20" t="n">
        <f aca="false">SQRT(B255^2+C255^2)</f>
        <v>27.3332848422537</v>
      </c>
      <c r="E255" s="32" t="n">
        <f aca="false">20*LOG10(MAX(D255,0.000000000001)/$K$3)</f>
        <v>28.7338365439443</v>
      </c>
    </row>
    <row r="256" customFormat="false" ht="15" hidden="false" customHeight="false" outlineLevel="0" collapsed="false">
      <c r="A256" s="13" t="n">
        <f aca="false">A255+$F$3</f>
        <v>10000</v>
      </c>
      <c r="B256" s="20" t="n">
        <f aca="false">SUMPRODUCT(固有振動数!$Q$6:$Q$22*(1-($A256/固有振動数!$O$6:$O$22)^2)/((1-($A256/固有振動数!$O$6:$O$22)^2)^2+固有振動数!$P$6:$P$22^2))</f>
        <v>30.8221801929486</v>
      </c>
      <c r="C256" s="20" t="n">
        <f aca="false">-SUMPRODUCT(固有振動数!$Q$6:$Q$22*固有振動数!$P$6:$P$22/((1-($A256/固有振動数!$O$6:$O$22)^2)^2+固有振動数!$P$6:$P$22^2))</f>
        <v>-0.104892389435602</v>
      </c>
      <c r="D256" s="20" t="n">
        <f aca="false">SQRT(B256^2+C256^2)</f>
        <v>30.822358674507</v>
      </c>
      <c r="E256" s="32" t="n">
        <f aca="false">20*LOG10(MAX(D256,0.000000000001)/$K$3)</f>
        <v>29.7773173989573</v>
      </c>
    </row>
    <row r="257" customFormat="false" ht="15" hidden="false" customHeight="false" outlineLevel="0" collapsed="false">
      <c r="A257" s="13" t="n">
        <f aca="false">A256+$F$3</f>
        <v>10040</v>
      </c>
      <c r="B257" s="20" t="n">
        <f aca="false">SUMPRODUCT(固有振動数!$Q$6:$Q$22*(1-($A257/固有振動数!$O$6:$O$22)^2)/((1-($A257/固有振動数!$O$6:$O$22)^2)^2+固有振動数!$P$6:$P$22^2))</f>
        <v>35.4212332631663</v>
      </c>
      <c r="C257" s="20" t="n">
        <f aca="false">-SUMPRODUCT(固有振動数!$Q$6:$Q$22*固有振動数!$P$6:$P$22/((1-($A257/固有振動数!$O$6:$O$22)^2)^2+固有振動数!$P$6:$P$22^2))</f>
        <v>-0.142144719681168</v>
      </c>
      <c r="D257" s="20" t="n">
        <f aca="false">SQRT(B257^2+C257^2)</f>
        <v>35.4215184740148</v>
      </c>
      <c r="E257" s="32" t="n">
        <f aca="false">20*LOG10(MAX(D257,0.000000000001)/$K$3)</f>
        <v>30.9853434977531</v>
      </c>
    </row>
    <row r="258" customFormat="false" ht="15" hidden="false" customHeight="false" outlineLevel="0" collapsed="false">
      <c r="A258" s="13" t="n">
        <f aca="false">A257+$F$3</f>
        <v>10080</v>
      </c>
      <c r="B258" s="20" t="n">
        <f aca="false">SUMPRODUCT(固有振動数!$Q$6:$Q$22*(1-($A258/固有振動数!$O$6:$O$22)^2)/((1-($A258/固有振動数!$O$6:$O$22)^2)^2+固有振動数!$P$6:$P$22^2))</f>
        <v>41.9728741738212</v>
      </c>
      <c r="C258" s="20" t="n">
        <f aca="false">-SUMPRODUCT(固有振動数!$Q$6:$Q$22*固有振動数!$P$6:$P$22/((1-($A258/固有振動数!$O$6:$O$22)^2)^2+固有振動数!$P$6:$P$22^2))</f>
        <v>-0.210292514129888</v>
      </c>
      <c r="D258" s="20" t="n">
        <f aca="false">SQRT(B258^2+C258^2)</f>
        <v>41.9734009743424</v>
      </c>
      <c r="E258" s="32" t="n">
        <f aca="false">20*LOG10(MAX(D258,0.000000000001)/$K$3)</f>
        <v>32.4594832034097</v>
      </c>
    </row>
    <row r="259" customFormat="false" ht="15" hidden="false" customHeight="false" outlineLevel="0" collapsed="false">
      <c r="A259" s="13" t="n">
        <f aca="false">A258+$F$3</f>
        <v>10120</v>
      </c>
      <c r="B259" s="20" t="n">
        <f aca="false">SUMPRODUCT(固有振動数!$Q$6:$Q$22*(1-($A259/固有振動数!$O$6:$O$22)^2)/((1-($A259/固有振動数!$O$6:$O$22)^2)^2+固有振動数!$P$6:$P$22^2))</f>
        <v>52.3893696662167</v>
      </c>
      <c r="C259" s="20" t="n">
        <f aca="false">-SUMPRODUCT(固有振動数!$Q$6:$Q$22*固有振動数!$P$6:$P$22/((1-($A259/固有振動数!$O$6:$O$22)^2)^2+固有振動数!$P$6:$P$22^2))</f>
        <v>-0.354526544867407</v>
      </c>
      <c r="D259" s="20" t="n">
        <f aca="false">SQRT(B259^2+C259^2)</f>
        <v>52.3905692190353</v>
      </c>
      <c r="E259" s="32" t="n">
        <f aca="false">20*LOG10(MAX(D259,0.000000000001)/$K$3)</f>
        <v>34.3850623409166</v>
      </c>
    </row>
    <row r="260" customFormat="false" ht="15" hidden="false" customHeight="false" outlineLevel="0" collapsed="false">
      <c r="A260" s="13" t="n">
        <f aca="false">A259+$F$3</f>
        <v>10160</v>
      </c>
      <c r="B260" s="20" t="n">
        <f aca="false">SUMPRODUCT(固有振動数!$Q$6:$Q$22*(1-($A260/固有振動数!$O$6:$O$22)^2)/((1-($A260/固有振動数!$O$6:$O$22)^2)^2+固有振動数!$P$6:$P$22^2))</f>
        <v>72.1773740119246</v>
      </c>
      <c r="C260" s="20" t="n">
        <f aca="false">-SUMPRODUCT(固有振動数!$Q$6:$Q$22*固有振動数!$P$6:$P$22/((1-($A260/固有振動数!$O$6:$O$22)^2)^2+固有振動数!$P$6:$P$22^2))</f>
        <v>-0.748777084491313</v>
      </c>
      <c r="D260" s="20" t="n">
        <f aca="false">SQRT(B260^2+C260^2)</f>
        <v>72.1812578608845</v>
      </c>
      <c r="E260" s="32" t="n">
        <f aca="false">20*LOG10(MAX(D260,0.000000000001)/$K$3)</f>
        <v>37.1684889197458</v>
      </c>
    </row>
    <row r="261" customFormat="false" ht="15" hidden="false" customHeight="false" outlineLevel="0" collapsed="false">
      <c r="A261" s="13" t="n">
        <f aca="false">A260+$F$3</f>
        <v>10200</v>
      </c>
      <c r="B261" s="20" t="n">
        <f aca="false">SUMPRODUCT(固有振動数!$Q$6:$Q$22*(1-($A261/固有振動数!$O$6:$O$22)^2)/((1-($A261/固有振動数!$O$6:$O$22)^2)^2+固有振動数!$P$6:$P$22^2))</f>
        <v>126.464030875119</v>
      </c>
      <c r="C261" s="20" t="n">
        <f aca="false">-SUMPRODUCT(固有振動数!$Q$6:$Q$22*固有振動数!$P$6:$P$22/((1-($A261/固有振動数!$O$6:$O$22)^2)^2+固有振動数!$P$6:$P$22^2))</f>
        <v>-2.63670644016647</v>
      </c>
      <c r="D261" s="20" t="n">
        <f aca="false">SQRT(B261^2+C261^2)</f>
        <v>126.491514838089</v>
      </c>
      <c r="E261" s="32" t="n">
        <f aca="false">20*LOG10(MAX(D261,0.000000000001)/$K$3)</f>
        <v>42.0412278726728</v>
      </c>
    </row>
    <row r="262" customFormat="false" ht="15" hidden="false" customHeight="false" outlineLevel="0" collapsed="false">
      <c r="A262" s="13" t="n">
        <f aca="false">A261+$F$3</f>
        <v>10240</v>
      </c>
      <c r="B262" s="20" t="n">
        <f aca="false">SUMPRODUCT(固有振動数!$Q$6:$Q$22*(1-($A262/固有振動数!$O$6:$O$22)^2)/((1-($A262/固有振動数!$O$6:$O$22)^2)^2+固有振動数!$P$6:$P$22^2))</f>
        <v>1031.53711503119</v>
      </c>
      <c r="C262" s="20" t="n">
        <f aca="false">-SUMPRODUCT(固有振動数!$Q$6:$Q$22*固有振動数!$P$6:$P$22/((1-($A262/固有振動数!$O$6:$O$22)^2)^2+固有振動数!$P$6:$P$22^2))</f>
        <v>-217.18812968781</v>
      </c>
      <c r="D262" s="20" t="n">
        <f aca="false">SQRT(B262^2+C262^2)</f>
        <v>1054.15345342325</v>
      </c>
      <c r="E262" s="32" t="n">
        <f aca="false">20*LOG10(MAX(D262,0.000000000001)/$K$3)</f>
        <v>60.4580767170376</v>
      </c>
    </row>
    <row r="263" customFormat="false" ht="15" hidden="false" customHeight="false" outlineLevel="0" collapsed="false">
      <c r="A263" s="13" t="n">
        <f aca="false">A262+$F$3</f>
        <v>10280</v>
      </c>
      <c r="B263" s="20" t="n">
        <f aca="false">SUMPRODUCT(固有振動数!$Q$6:$Q$22*(1-($A263/固有振動数!$O$6:$O$22)^2)/((1-($A263/固有振動数!$O$6:$O$22)^2)^2+固有振動数!$P$6:$P$22^2))</f>
        <v>-132.423589723423</v>
      </c>
      <c r="C263" s="20" t="n">
        <f aca="false">-SUMPRODUCT(固有振動数!$Q$6:$Q$22*固有振動数!$P$6:$P$22/((1-($A263/固有振動数!$O$6:$O$22)^2)^2+固有振動数!$P$6:$P$22^2))</f>
        <v>-4.23213019906709</v>
      </c>
      <c r="D263" s="20" t="n">
        <f aca="false">SQRT(B263^2+C263^2)</f>
        <v>132.49119986346</v>
      </c>
      <c r="E263" s="32" t="n">
        <f aca="false">20*LOG10(MAX(D263,0.000000000001)/$K$3)</f>
        <v>42.443740663168</v>
      </c>
    </row>
    <row r="264" customFormat="false" ht="15" hidden="false" customHeight="false" outlineLevel="0" collapsed="false">
      <c r="A264" s="13" t="n">
        <f aca="false">A263+$F$3</f>
        <v>10320</v>
      </c>
      <c r="B264" s="20" t="n">
        <f aca="false">SUMPRODUCT(固有振動数!$Q$6:$Q$22*(1-($A264/固有振動数!$O$6:$O$22)^2)/((1-($A264/固有振動数!$O$6:$O$22)^2)^2+固有振動数!$P$6:$P$22^2))</f>
        <v>-54.7080511984215</v>
      </c>
      <c r="C264" s="20" t="n">
        <f aca="false">-SUMPRODUCT(固有振動数!$Q$6:$Q$22*固有振動数!$P$6:$P$22/((1-($A264/固有振動数!$O$6:$O$22)^2)^2+固有振動数!$P$6:$P$22^2))</f>
        <v>-0.933932293224864</v>
      </c>
      <c r="D264" s="20" t="n">
        <f aca="false">SQRT(B264^2+C264^2)</f>
        <v>54.716022291989</v>
      </c>
      <c r="E264" s="32" t="n">
        <f aca="false">20*LOG10(MAX(D264,0.000000000001)/$K$3)</f>
        <v>34.7622903563207</v>
      </c>
    </row>
    <row r="265" customFormat="false" ht="15" hidden="false" customHeight="false" outlineLevel="0" collapsed="false">
      <c r="A265" s="13" t="n">
        <f aca="false">A264+$F$3</f>
        <v>10360</v>
      </c>
      <c r="B265" s="20" t="n">
        <f aca="false">SUMPRODUCT(固有振動数!$Q$6:$Q$22*(1-($A265/固有振動数!$O$6:$O$22)^2)/((1-($A265/固有振動数!$O$6:$O$22)^2)^2+固有振動数!$P$6:$P$22^2))</f>
        <v>-30.6738478747307</v>
      </c>
      <c r="C265" s="20" t="n">
        <f aca="false">-SUMPRODUCT(固有振動数!$Q$6:$Q$22*固有振動数!$P$6:$P$22/((1-($A265/固有振動数!$O$6:$O$22)^2)^2+固有振動数!$P$6:$P$22^2))</f>
        <v>-0.403758599745764</v>
      </c>
      <c r="D265" s="20" t="n">
        <f aca="false">SQRT(B265^2+C265^2)</f>
        <v>30.6765050885689</v>
      </c>
      <c r="E265" s="32" t="n">
        <f aca="false">20*LOG10(MAX(D265,0.000000000001)/$K$3)</f>
        <v>29.7361175962774</v>
      </c>
    </row>
    <row r="266" customFormat="false" ht="15" hidden="false" customHeight="false" outlineLevel="0" collapsed="false">
      <c r="A266" s="13" t="n">
        <f aca="false">A265+$F$3</f>
        <v>10400</v>
      </c>
      <c r="B266" s="20" t="n">
        <f aca="false">SUMPRODUCT(固有振動数!$Q$6:$Q$22*(1-($A266/固有振動数!$O$6:$O$22)^2)/((1-($A266/固有振動数!$O$6:$O$22)^2)^2+固有振動数!$P$6:$P$22^2))</f>
        <v>-18.8293826648943</v>
      </c>
      <c r="C266" s="20" t="n">
        <f aca="false">-SUMPRODUCT(固有振動数!$Q$6:$Q$22*固有振動数!$P$6:$P$22/((1-($A266/固有振動数!$O$6:$O$22)^2)^2+固有振動数!$P$6:$P$22^2))</f>
        <v>-0.227417823538776</v>
      </c>
      <c r="D266" s="20" t="n">
        <f aca="false">SQRT(B266^2+C266^2)</f>
        <v>18.8307559701539</v>
      </c>
      <c r="E266" s="32" t="n">
        <f aca="false">20*LOG10(MAX(D266,0.000000000001)/$K$3)</f>
        <v>25.4973551067338</v>
      </c>
    </row>
    <row r="267" customFormat="false" ht="15" hidden="false" customHeight="false" outlineLevel="0" collapsed="false">
      <c r="A267" s="13" t="n">
        <f aca="false">A266+$F$3</f>
        <v>10440</v>
      </c>
      <c r="B267" s="20" t="n">
        <f aca="false">SUMPRODUCT(固有振動数!$Q$6:$Q$22*(1-($A267/固有振動数!$O$6:$O$22)^2)/((1-($A267/固有振動数!$O$6:$O$22)^2)^2+固有振動数!$P$6:$P$22^2))</f>
        <v>-11.6809872086837</v>
      </c>
      <c r="C267" s="20" t="n">
        <f aca="false">-SUMPRODUCT(固有振動数!$Q$6:$Q$22*固有振動数!$P$6:$P$22/((1-($A267/固有振動数!$O$6:$O$22)^2)^2+固有振動数!$P$6:$P$22^2))</f>
        <v>-0.148094835503014</v>
      </c>
      <c r="D267" s="20" t="n">
        <f aca="false">SQRT(B267^2+C267^2)</f>
        <v>11.6819259649142</v>
      </c>
      <c r="E267" s="32" t="n">
        <f aca="false">20*LOG10(MAX(D267,0.000000000001)/$K$3)</f>
        <v>21.350288990768</v>
      </c>
    </row>
    <row r="268" customFormat="false" ht="15" hidden="false" customHeight="false" outlineLevel="0" collapsed="false">
      <c r="A268" s="13" t="n">
        <f aca="false">A267+$F$3</f>
        <v>10480</v>
      </c>
      <c r="B268" s="20" t="n">
        <f aca="false">SUMPRODUCT(固有振動数!$Q$6:$Q$22*(1-($A268/固有振動数!$O$6:$O$22)^2)/((1-($A268/固有振動数!$O$6:$O$22)^2)^2+固有振動数!$P$6:$P$22^2))</f>
        <v>-6.83060635167446</v>
      </c>
      <c r="C268" s="20" t="n">
        <f aca="false">-SUMPRODUCT(固有振動数!$Q$6:$Q$22*固有振動数!$P$6:$P$22/((1-($A268/固有振動数!$O$6:$O$22)^2)^2+固有振動数!$P$6:$P$22^2))</f>
        <v>-0.105881758826232</v>
      </c>
      <c r="D268" s="20" t="n">
        <f aca="false">SQRT(B268^2+C268^2)</f>
        <v>6.83142694306157</v>
      </c>
      <c r="E268" s="32" t="n">
        <f aca="false">20*LOG10(MAX(D268,0.000000000001)/$K$3)</f>
        <v>16.6902285649059</v>
      </c>
    </row>
    <row r="269" customFormat="false" ht="15" hidden="false" customHeight="false" outlineLevel="0" collapsed="false">
      <c r="A269" s="13" t="n">
        <f aca="false">A268+$F$3</f>
        <v>10520</v>
      </c>
      <c r="B269" s="20" t="n">
        <f aca="false">SUMPRODUCT(固有振動数!$Q$6:$Q$22*(1-($A269/固有振動数!$O$6:$O$22)^2)/((1-($A269/固有振動数!$O$6:$O$22)^2)^2+固有振動数!$P$6:$P$22^2))</f>
        <v>-3.27305166596809</v>
      </c>
      <c r="C269" s="20" t="n">
        <f aca="false">-SUMPRODUCT(固有振動数!$Q$6:$Q$22*固有振動数!$P$6:$P$22/((1-($A269/固有振動数!$O$6:$O$22)^2)^2+固有振動数!$P$6:$P$22^2))</f>
        <v>-0.0808885992824914</v>
      </c>
      <c r="D269" s="20" t="n">
        <f aca="false">SQRT(B269^2+C269^2)</f>
        <v>3.27405103405405</v>
      </c>
      <c r="E269" s="32" t="n">
        <f aca="false">20*LOG10(MAX(D269,0.000000000001)/$K$3)</f>
        <v>10.3017088933042</v>
      </c>
    </row>
    <row r="270" customFormat="false" ht="15" hidden="false" customHeight="false" outlineLevel="0" collapsed="false">
      <c r="A270" s="13" t="n">
        <f aca="false">A269+$F$3</f>
        <v>10560</v>
      </c>
      <c r="B270" s="20" t="n">
        <f aca="false">SUMPRODUCT(固有振動数!$Q$6:$Q$22*(1-($A270/固有振動数!$O$6:$O$22)^2)/((1-($A270/固有振動数!$O$6:$O$22)^2)^2+固有振動数!$P$6:$P$22^2))</f>
        <v>-0.512231936599684</v>
      </c>
      <c r="C270" s="20" t="n">
        <f aca="false">-SUMPRODUCT(固有振動数!$Q$6:$Q$22*固有振動数!$P$6:$P$22/((1-($A270/固有振動数!$O$6:$O$22)^2)^2+固有振動数!$P$6:$P$22^2))</f>
        <v>-0.0649788489005312</v>
      </c>
      <c r="D270" s="20" t="n">
        <f aca="false">SQRT(B270^2+C270^2)</f>
        <v>0.51633691295229</v>
      </c>
      <c r="E270" s="32" t="n">
        <f aca="false">20*LOG10(MAX(D270,0.000000000001)/$K$3)</f>
        <v>-5.7413365221644</v>
      </c>
    </row>
    <row r="271" customFormat="false" ht="15" hidden="false" customHeight="false" outlineLevel="0" collapsed="false">
      <c r="A271" s="13" t="n">
        <f aca="false">A270+$F$3</f>
        <v>10600</v>
      </c>
      <c r="B271" s="20" t="n">
        <f aca="false">SUMPRODUCT(固有振動数!$Q$6:$Q$22*(1-($A271/固有振動数!$O$6:$O$22)^2)/((1-($A271/固有振動数!$O$6:$O$22)^2)^2+固有振動数!$P$6:$P$22^2))</f>
        <v>1.72555173237003</v>
      </c>
      <c r="C271" s="20" t="n">
        <f aca="false">-SUMPRODUCT(固有振動数!$Q$6:$Q$22*固有振動数!$P$6:$P$22/((1-($A271/固有振動数!$O$6:$O$22)^2)^2+固有振動数!$P$6:$P$22^2))</f>
        <v>-0.0543253262927335</v>
      </c>
      <c r="D271" s="20" t="n">
        <f aca="false">SQRT(B271^2+C271^2)</f>
        <v>1.72640667925087</v>
      </c>
      <c r="E271" s="32" t="n">
        <f aca="false">20*LOG10(MAX(D271,0.000000000001)/$K$3)</f>
        <v>4.74286215145911</v>
      </c>
    </row>
    <row r="272" customFormat="false" ht="15" hidden="false" customHeight="false" outlineLevel="0" collapsed="false">
      <c r="A272" s="13" t="n">
        <f aca="false">A271+$F$3</f>
        <v>10640</v>
      </c>
      <c r="B272" s="20" t="n">
        <f aca="false">SUMPRODUCT(固有振動数!$Q$6:$Q$22*(1-($A272/固有振動数!$O$6:$O$22)^2)/((1-($A272/固有振動数!$O$6:$O$22)^2)^2+固有振動数!$P$6:$P$22^2))</f>
        <v>3.60423879859914</v>
      </c>
      <c r="C272" s="20" t="n">
        <f aca="false">-SUMPRODUCT(固有振動数!$Q$6:$Q$22*固有振動数!$P$6:$P$22/((1-($A272/固有振動数!$O$6:$O$22)^2)^2+固有振動数!$P$6:$P$22^2))</f>
        <v>-0.0469382392718758</v>
      </c>
      <c r="D272" s="20" t="n">
        <f aca="false">SQRT(B272^2+C272^2)</f>
        <v>3.60454442553193</v>
      </c>
      <c r="E272" s="32" t="n">
        <f aca="false">20*LOG10(MAX(D272,0.000000000001)/$K$3)</f>
        <v>11.137007650289</v>
      </c>
    </row>
    <row r="273" customFormat="false" ht="15" hidden="false" customHeight="false" outlineLevel="0" collapsed="false">
      <c r="A273" s="13" t="n">
        <f aca="false">A272+$F$3</f>
        <v>10680</v>
      </c>
      <c r="B273" s="20" t="n">
        <f aca="false">SUMPRODUCT(固有振動数!$Q$6:$Q$22*(1-($A273/固有振動数!$O$6:$O$22)^2)/((1-($A273/固有振動数!$O$6:$O$22)^2)^2+固有振動数!$P$6:$P$22^2))</f>
        <v>5.22856338221968</v>
      </c>
      <c r="C273" s="20" t="n">
        <f aca="false">-SUMPRODUCT(固有振動数!$Q$6:$Q$22*固有振動数!$P$6:$P$22/((1-($A273/固有振動数!$O$6:$O$22)^2)^2+固有振動数!$P$6:$P$22^2))</f>
        <v>-0.0417027770569498</v>
      </c>
      <c r="D273" s="20" t="n">
        <f aca="false">SQRT(B273^2+C273^2)</f>
        <v>5.22872968927471</v>
      </c>
      <c r="E273" s="32" t="n">
        <f aca="false">20*LOG10(MAX(D273,0.000000000001)/$K$3)</f>
        <v>14.3679238119581</v>
      </c>
    </row>
    <row r="274" customFormat="false" ht="15" hidden="false" customHeight="false" outlineLevel="0" collapsed="false">
      <c r="A274" s="13" t="n">
        <f aca="false">A273+$F$3</f>
        <v>10720</v>
      </c>
      <c r="B274" s="20" t="n">
        <f aca="false">SUMPRODUCT(固有振動数!$Q$6:$Q$22*(1-($A274/固有振動数!$O$6:$O$22)^2)/((1-($A274/固有振動数!$O$6:$O$22)^2)^2+固有振動数!$P$6:$P$22^2))</f>
        <v>6.66911248866678</v>
      </c>
      <c r="C274" s="20" t="n">
        <f aca="false">-SUMPRODUCT(固有振動数!$Q$6:$Q$22*固有振動数!$P$6:$P$22/((1-($A274/固有振動数!$O$6:$O$22)^2)^2+固有振動数!$P$6:$P$22^2))</f>
        <v>-0.0379579564827197</v>
      </c>
      <c r="D274" s="20" t="n">
        <f aca="false">SQRT(B274^2+C274^2)</f>
        <v>6.66922050864653</v>
      </c>
      <c r="E274" s="32" t="n">
        <f aca="false">20*LOG10(MAX(D274,0.000000000001)/$K$3)</f>
        <v>16.4815015401715</v>
      </c>
    </row>
    <row r="275" customFormat="false" ht="15" hidden="false" customHeight="false" outlineLevel="0" collapsed="false">
      <c r="A275" s="13" t="n">
        <f aca="false">A274+$F$3</f>
        <v>10760</v>
      </c>
      <c r="B275" s="20" t="n">
        <f aca="false">SUMPRODUCT(固有振動数!$Q$6:$Q$22*(1-($A275/固有振動数!$O$6:$O$22)^2)/((1-($A275/固有振動数!$O$6:$O$22)^2)^2+固有振動数!$P$6:$P$22^2))</f>
        <v>7.97575225766861</v>
      </c>
      <c r="C275" s="20" t="n">
        <f aca="false">-SUMPRODUCT(固有振動数!$Q$6:$Q$22*固有振動数!$P$6:$P$22/((1-($A275/固有振動数!$O$6:$O$22)^2)^2+固有振動数!$P$6:$P$22^2))</f>
        <v>-0.0352950681551833</v>
      </c>
      <c r="D275" s="20" t="n">
        <f aca="false">SQRT(B275^2+C275^2)</f>
        <v>7.97583035285618</v>
      </c>
      <c r="E275" s="32" t="n">
        <f aca="false">20*LOG10(MAX(D275,0.000000000001)/$K$3)</f>
        <v>18.0355181578223</v>
      </c>
    </row>
    <row r="276" customFormat="false" ht="15" hidden="false" customHeight="false" outlineLevel="0" collapsed="false">
      <c r="A276" s="13" t="n">
        <f aca="false">A275+$F$3</f>
        <v>10800</v>
      </c>
      <c r="B276" s="20" t="n">
        <f aca="false">SUMPRODUCT(固有振動数!$Q$6:$Q$22*(1-($A276/固有振動数!$O$6:$O$22)^2)/((1-($A276/固有振動数!$O$6:$O$22)^2)^2+固有振動数!$P$6:$P$22^2))</f>
        <v>9.18529867055558</v>
      </c>
      <c r="C276" s="20" t="n">
        <f aca="false">-SUMPRODUCT(固有振動数!$Q$6:$Q$22*固有振動数!$P$6:$P$22/((1-($A276/固有振動数!$O$6:$O$22)^2)^2+固有振動数!$P$6:$P$22^2))</f>
        <v>-0.0334542299018438</v>
      </c>
      <c r="D276" s="20" t="n">
        <f aca="false">SQRT(B276^2+C276^2)</f>
        <v>9.18535959300497</v>
      </c>
      <c r="E276" s="32" t="n">
        <f aca="false">20*LOG10(MAX(D276,0.000000000001)/$K$3)</f>
        <v>19.2619232590006</v>
      </c>
    </row>
    <row r="277" customFormat="false" ht="15" hidden="false" customHeight="false" outlineLevel="0" collapsed="false">
      <c r="A277" s="13" t="n">
        <f aca="false">A276+$F$3</f>
        <v>10840</v>
      </c>
      <c r="B277" s="20" t="n">
        <f aca="false">SUMPRODUCT(固有振動数!$Q$6:$Q$22*(1-($A277/固有振動数!$O$6:$O$22)^2)/((1-($A277/固有振動数!$O$6:$O$22)^2)^2+固有振動数!$P$6:$P$22^2))</f>
        <v>10.3261537536253</v>
      </c>
      <c r="C277" s="20" t="n">
        <f aca="false">-SUMPRODUCT(固有振動数!$Q$6:$Q$22*固有振動数!$P$6:$P$22/((1-($A277/固有振動数!$O$6:$O$22)^2)^2+固有振動数!$P$6:$P$22^2))</f>
        <v>-0.0322683450315547</v>
      </c>
      <c r="D277" s="20" t="n">
        <f aca="false">SQRT(B277^2+C277^2)</f>
        <v>10.3262041714078</v>
      </c>
      <c r="E277" s="32" t="n">
        <f aca="false">20*LOG10(MAX(D277,0.000000000001)/$K$3)</f>
        <v>20.2788141547609</v>
      </c>
    </row>
    <row r="278" customFormat="false" ht="15" hidden="false" customHeight="false" outlineLevel="0" collapsed="false">
      <c r="A278" s="13" t="n">
        <f aca="false">A277+$F$3</f>
        <v>10880</v>
      </c>
      <c r="B278" s="20" t="n">
        <f aca="false">SUMPRODUCT(固有振動数!$Q$6:$Q$22*(1-($A278/固有振動数!$O$6:$O$22)^2)/((1-($A278/固有振動数!$O$6:$O$22)^2)^2+固有振動数!$P$6:$P$22^2))</f>
        <v>11.4212627563913</v>
      </c>
      <c r="C278" s="20" t="n">
        <f aca="false">-SUMPRODUCT(固有振動数!$Q$6:$Q$22*固有振動数!$P$6:$P$22/((1-($A278/固有振動数!$O$6:$O$22)^2)^2+固有振動数!$P$6:$P$22^2))</f>
        <v>-0.0316315645022307</v>
      </c>
      <c r="D278" s="20" t="n">
        <f aca="false">SQRT(B278^2+C278^2)</f>
        <v>11.4213065586387</v>
      </c>
      <c r="E278" s="32" t="n">
        <f aca="false">20*LOG10(MAX(D278,0.000000000001)/$K$3)</f>
        <v>21.1543157712785</v>
      </c>
    </row>
    <row r="279" customFormat="false" ht="15" hidden="false" customHeight="false" outlineLevel="0" collapsed="false">
      <c r="A279" s="13" t="n">
        <f aca="false">A278+$F$3</f>
        <v>10920</v>
      </c>
      <c r="B279" s="20" t="n">
        <f aca="false">SUMPRODUCT(固有振動数!$Q$6:$Q$22*(1-($A279/固有振動数!$O$6:$O$22)^2)/((1-($A279/固有振動数!$O$6:$O$22)^2)^2+固有振動数!$P$6:$P$22^2))</f>
        <v>12.490112538798</v>
      </c>
      <c r="C279" s="20" t="n">
        <f aca="false">-SUMPRODUCT(固有振動数!$Q$6:$Q$22*固有振動数!$P$6:$P$22/((1-($A279/固有振動数!$O$6:$O$22)^2)^2+固有振動数!$P$6:$P$22^2))</f>
        <v>-0.0314812506925303</v>
      </c>
      <c r="D279" s="20" t="n">
        <f aca="false">SQRT(B279^2+C279^2)</f>
        <v>12.490152212883</v>
      </c>
      <c r="E279" s="32" t="n">
        <f aca="false">20*LOG10(MAX(D279,0.000000000001)/$K$3)</f>
        <v>21.9313546198644</v>
      </c>
    </row>
    <row r="280" customFormat="false" ht="15" hidden="false" customHeight="false" outlineLevel="0" collapsed="false">
      <c r="A280" s="13" t="n">
        <f aca="false">A279+$F$3</f>
        <v>10960</v>
      </c>
      <c r="B280" s="20" t="n">
        <f aca="false">SUMPRODUCT(固有振動数!$Q$6:$Q$22*(1-($A280/固有振動数!$O$6:$O$22)^2)/((1-($A280/固有振動数!$O$6:$O$22)^2)^2+固有振動数!$P$6:$P$22^2))</f>
        <v>13.5501792054066</v>
      </c>
      <c r="C280" s="20" t="n">
        <f aca="false">-SUMPRODUCT(固有振動数!$Q$6:$Q$22*固有振動数!$P$6:$P$22/((1-($A280/固有振動数!$O$6:$O$22)^2)^2+固有振動数!$P$6:$P$22^2))</f>
        <v>-0.0317879304801748</v>
      </c>
      <c r="D280" s="20" t="n">
        <f aca="false">SQRT(B280^2+C280^2)</f>
        <v>13.5502164916712</v>
      </c>
      <c r="E280" s="32" t="n">
        <f aca="false">20*LOG10(MAX(D280,0.000000000001)/$K$3)</f>
        <v>22.6389246796876</v>
      </c>
    </row>
    <row r="281" customFormat="false" ht="15" hidden="false" customHeight="false" outlineLevel="0" collapsed="false">
      <c r="A281" s="13" t="n">
        <f aca="false">A280+$F$3</f>
        <v>11000</v>
      </c>
      <c r="B281" s="20" t="n">
        <f aca="false">SUMPRODUCT(固有振動数!$Q$6:$Q$22*(1-($A281/固有振動数!$O$6:$O$22)^2)/((1-($A281/固有振動数!$O$6:$O$22)^2)^2+固有振動数!$P$6:$P$22^2))</f>
        <v>14.618074603578</v>
      </c>
      <c r="C281" s="20" t="n">
        <f aca="false">-SUMPRODUCT(固有振動数!$Q$6:$Q$22*固有振動数!$P$6:$P$22/((1-($A281/固有振動数!$O$6:$O$22)^2)^2+固有振動数!$P$6:$P$22^2))</f>
        <v>-0.0325504578597573</v>
      </c>
      <c r="D281" s="20" t="n">
        <f aca="false">SQRT(B281^2+C281^2)</f>
        <v>14.6181108440209</v>
      </c>
      <c r="E281" s="32" t="n">
        <f aca="false">20*LOG10(MAX(D281,0.000000000001)/$K$3)</f>
        <v>23.2978250132714</v>
      </c>
    </row>
    <row r="282" customFormat="false" ht="15" hidden="false" customHeight="false" outlineLevel="0" collapsed="false">
      <c r="A282" s="13" t="n">
        <f aca="false">A281+$F$3</f>
        <v>11040</v>
      </c>
      <c r="B282" s="20" t="n">
        <f aca="false">SUMPRODUCT(固有振動数!$Q$6:$Q$22*(1-($A282/固有振動数!$O$6:$O$22)^2)/((1-($A282/固有振動数!$O$6:$O$22)^2)^2+固有振動数!$P$6:$P$22^2))</f>
        <v>15.7105622257361</v>
      </c>
      <c r="C282" s="20" t="n">
        <f aca="false">-SUMPRODUCT(固有振動数!$Q$6:$Q$22*固有振動数!$P$6:$P$22/((1-($A282/固有振動数!$O$6:$O$22)^2)^2+固有振動数!$P$6:$P$22^2))</f>
        <v>-0.0337951097317956</v>
      </c>
      <c r="D282" s="20" t="n">
        <f aca="false">SQRT(B282^2+C282^2)</f>
        <v>15.7105985741526</v>
      </c>
      <c r="E282" s="32" t="n">
        <f aca="false">20*LOG10(MAX(D282,0.000000000001)/$K$3)</f>
        <v>23.9238546396909</v>
      </c>
    </row>
    <row r="283" customFormat="false" ht="15" hidden="false" customHeight="false" outlineLevel="0" collapsed="false">
      <c r="A283" s="13" t="n">
        <f aca="false">A282+$F$3</f>
        <v>11080</v>
      </c>
      <c r="B283" s="20" t="n">
        <f aca="false">SUMPRODUCT(固有振動数!$Q$6:$Q$22*(1-($A283/固有振動数!$O$6:$O$22)^2)/((1-($A283/固有振動数!$O$6:$O$22)^2)^2+固有振動数!$P$6:$P$22^2))</f>
        <v>16.8455801210307</v>
      </c>
      <c r="C283" s="20" t="n">
        <f aca="false">-SUMPRODUCT(固有振動数!$Q$6:$Q$22*固有振動数!$P$6:$P$22/((1-($A283/固有振動数!$O$6:$O$22)^2)^2+固有振動数!$P$6:$P$22^2))</f>
        <v>-0.0355783206769636</v>
      </c>
      <c r="D283" s="20" t="n">
        <f aca="false">SQRT(B283^2+C283^2)</f>
        <v>16.8456176921764</v>
      </c>
      <c r="E283" s="32" t="n">
        <f aca="false">20*LOG10(MAX(D283,0.000000000001)/$K$3)</f>
        <v>24.529738804871</v>
      </c>
    </row>
    <row r="284" customFormat="false" ht="15" hidden="false" customHeight="false" outlineLevel="0" collapsed="false">
      <c r="A284" s="13" t="n">
        <f aca="false">A283+$F$3</f>
        <v>11120</v>
      </c>
      <c r="B284" s="20" t="n">
        <f aca="false">SUMPRODUCT(固有振動数!$Q$6:$Q$22*(1-($A284/固有振動数!$O$6:$O$22)^2)/((1-($A284/固有振動数!$O$6:$O$22)^2)^2+固有振動数!$P$6:$P$22^2))</f>
        <v>18.0434086806815</v>
      </c>
      <c r="C284" s="20" t="n">
        <f aca="false">-SUMPRODUCT(固有振動数!$Q$6:$Q$22*固有振動数!$P$6:$P$22/((1-($A284/固有振動数!$O$6:$O$22)^2)^2+固有振動数!$P$6:$P$22^2))</f>
        <v>-0.0379936175035141</v>
      </c>
      <c r="D284" s="20" t="n">
        <f aca="false">SQRT(B284^2+C284^2)</f>
        <v>18.0434486818087</v>
      </c>
      <c r="E284" s="32" t="n">
        <f aca="false">20*LOG10(MAX(D284,0.000000000001)/$K$3)</f>
        <v>25.1263909749131</v>
      </c>
    </row>
    <row r="285" customFormat="false" ht="15" hidden="false" customHeight="false" outlineLevel="0" collapsed="false">
      <c r="A285" s="13" t="n">
        <f aca="false">A284+$F$3</f>
        <v>11160</v>
      </c>
      <c r="B285" s="20" t="n">
        <f aca="false">SUMPRODUCT(固有振動数!$Q$6:$Q$22*(1-($A285/固有振動数!$O$6:$O$22)^2)/((1-($A285/固有振動数!$O$6:$O$22)^2)^2+固有振動数!$P$6:$P$22^2))</f>
        <v>19.3281544100385</v>
      </c>
      <c r="C285" s="20" t="n">
        <f aca="false">-SUMPRODUCT(固有振動数!$Q$6:$Q$22*固有振動数!$P$6:$P$22/((1-($A285/固有振動数!$O$6:$O$22)^2)^2+固有振動数!$P$6:$P$22^2))</f>
        <v>-0.041184359634698</v>
      </c>
      <c r="D285" s="20" t="n">
        <f aca="false">SQRT(B285^2+C285^2)</f>
        <v>19.328198287729</v>
      </c>
      <c r="E285" s="32" t="n">
        <f aca="false">20*LOG10(MAX(D285,0.000000000001)/$K$3)</f>
        <v>25.723827447704</v>
      </c>
    </row>
    <row r="286" customFormat="false" ht="15" hidden="false" customHeight="false" outlineLevel="0" collapsed="false">
      <c r="A286" s="13" t="n">
        <f aca="false">A285+$F$3</f>
        <v>11200</v>
      </c>
      <c r="B286" s="20" t="n">
        <f aca="false">SUMPRODUCT(固有振動数!$Q$6:$Q$22*(1-($A286/固有振動数!$O$6:$O$22)^2)/((1-($A286/固有振動数!$O$6:$O$22)^2)^2+固有振動数!$P$6:$P$22^2))</f>
        <v>20.729799356183</v>
      </c>
      <c r="C286" s="20" t="n">
        <f aca="false">-SUMPRODUCT(固有振動数!$Q$6:$Q$22*固有振動数!$P$6:$P$22/((1-($A286/固有振動数!$O$6:$O$22)^2)^2+固有振動数!$P$6:$P$22^2))</f>
        <v>-0.045365542182552</v>
      </c>
      <c r="D286" s="20" t="n">
        <f aca="false">SQRT(B286^2+C286^2)</f>
        <v>20.7298489955914</v>
      </c>
      <c r="E286" s="32" t="n">
        <f aca="false">20*LOG10(MAX(D286,0.000000000001)/$K$3)</f>
        <v>26.3319227706565</v>
      </c>
    </row>
    <row r="287" customFormat="false" ht="15" hidden="false" customHeight="false" outlineLevel="0" collapsed="false">
      <c r="A287" s="13" t="n">
        <f aca="false">A286+$F$3</f>
        <v>11240</v>
      </c>
      <c r="B287" s="20" t="n">
        <f aca="false">SUMPRODUCT(固有振動数!$Q$6:$Q$22*(1-($A287/固有振動数!$O$6:$O$22)^2)/((1-($A287/固有振動数!$O$6:$O$22)^2)^2+固有振動数!$P$6:$P$22^2))</f>
        <v>22.2872213859995</v>
      </c>
      <c r="C287" s="20" t="n">
        <f aca="false">-SUMPRODUCT(固有振動数!$Q$6:$Q$22*固有振動数!$P$6:$P$22/((1-($A287/固有振動数!$O$6:$O$22)^2)^2+固有振動数!$P$6:$P$22^2))</f>
        <v>-0.0508609338058107</v>
      </c>
      <c r="D287" s="20" t="n">
        <f aca="false">SQRT(B287^2+C287^2)</f>
        <v>22.2872794199548</v>
      </c>
      <c r="E287" s="32" t="n">
        <f aca="false">20*LOG10(MAX(D287,0.000000000001)/$K$3)</f>
        <v>26.9611411587368</v>
      </c>
    </row>
    <row r="288" customFormat="false" ht="15" hidden="false" customHeight="false" outlineLevel="0" collapsed="false">
      <c r="A288" s="13" t="n">
        <f aca="false">A287+$F$3</f>
        <v>11280</v>
      </c>
      <c r="B288" s="20" t="n">
        <f aca="false">SUMPRODUCT(固有振動数!$Q$6:$Q$22*(1-($A288/固有振動数!$O$6:$O$22)^2)/((1-($A288/固有振動数!$O$6:$O$22)^2)^2+固有振動数!$P$6:$P$22^2))</f>
        <v>24.0528932898756</v>
      </c>
      <c r="C288" s="20" t="n">
        <f aca="false">-SUMPRODUCT(固有振動数!$Q$6:$Q$22*固有振動数!$P$6:$P$22/((1-($A288/固有振動数!$O$6:$O$22)^2)^2+固有振動数!$P$6:$P$22^2))</f>
        <v>-0.0581678304961416</v>
      </c>
      <c r="D288" s="20" t="n">
        <f aca="false">SQRT(B288^2+C288^2)</f>
        <v>24.052963624274</v>
      </c>
      <c r="E288" s="32" t="n">
        <f aca="false">20*LOG10(MAX(D288,0.000000000001)/$K$3)</f>
        <v>27.623371889767</v>
      </c>
    </row>
    <row r="289" customFormat="false" ht="15" hidden="false" customHeight="false" outlineLevel="0" collapsed="false">
      <c r="A289" s="13" t="n">
        <f aca="false">A288+$F$3</f>
        <v>11320</v>
      </c>
      <c r="B289" s="20" t="n">
        <f aca="false">SUMPRODUCT(固有振動数!$Q$6:$Q$22*(1-($A289/固有振動数!$O$6:$O$22)^2)/((1-($A289/固有振動数!$O$6:$O$22)^2)^2+固有振動数!$P$6:$P$22^2))</f>
        <v>26.1005763183363</v>
      </c>
      <c r="C289" s="20" t="n">
        <f aca="false">-SUMPRODUCT(固有振動数!$Q$6:$Q$22*固有振動数!$P$6:$P$22/((1-($A289/固有振動数!$O$6:$O$22)^2)^2+固有振動数!$P$6:$P$22^2))</f>
        <v>-0.0680745440353319</v>
      </c>
      <c r="D289" s="20" t="n">
        <f aca="false">SQRT(B289^2+C289^2)</f>
        <v>26.1006650929213</v>
      </c>
      <c r="E289" s="32" t="n">
        <f aca="false">20*LOG10(MAX(D289,0.000000000001)/$K$3)</f>
        <v>28.3330314820189</v>
      </c>
    </row>
    <row r="290" customFormat="false" ht="15" hidden="false" customHeight="false" outlineLevel="0" collapsed="false">
      <c r="A290" s="13" t="n">
        <f aca="false">A289+$F$3</f>
        <v>11360</v>
      </c>
      <c r="B290" s="20" t="n">
        <f aca="false">SUMPRODUCT(固有振動数!$Q$6:$Q$22*(1-($A290/固有振動数!$O$6:$O$22)^2)/((1-($A290/固有振動数!$O$6:$O$22)^2)^2+固有振動数!$P$6:$P$22^2))</f>
        <v>28.5386088535661</v>
      </c>
      <c r="C290" s="20" t="n">
        <f aca="false">-SUMPRODUCT(固有振動数!$Q$6:$Q$22*固有振動数!$P$6:$P$22/((1-($A290/固有振動数!$O$6:$O$22)^2)^2+固有振動数!$P$6:$P$22^2))</f>
        <v>-0.0818851866607018</v>
      </c>
      <c r="D290" s="20" t="n">
        <f aca="false">SQRT(B290^2+C290^2)</f>
        <v>28.5387263289839</v>
      </c>
      <c r="E290" s="32" t="n">
        <f aca="false">20*LOG10(MAX(D290,0.000000000001)/$K$3)</f>
        <v>29.1086917367237</v>
      </c>
    </row>
    <row r="291" customFormat="false" ht="15" hidden="false" customHeight="false" outlineLevel="0" collapsed="false">
      <c r="A291" s="13" t="n">
        <f aca="false">A290+$F$3</f>
        <v>11400</v>
      </c>
      <c r="B291" s="20" t="n">
        <f aca="false">SUMPRODUCT(固有振動数!$Q$6:$Q$22*(1-($A291/固有振動数!$O$6:$O$22)^2)/((1-($A291/固有振動数!$O$6:$O$22)^2)^2+固有振動数!$P$6:$P$22^2))</f>
        <v>31.5343024325354</v>
      </c>
      <c r="C291" s="20" t="n">
        <f aca="false">-SUMPRODUCT(固有振動数!$Q$6:$Q$22*固有振動数!$P$6:$P$22/((1-($A291/固有振動数!$O$6:$O$22)^2)^2+固有振動数!$P$6:$P$22^2))</f>
        <v>-0.101879582107341</v>
      </c>
      <c r="D291" s="20" t="n">
        <f aca="false">SQRT(B291^2+C291^2)</f>
        <v>31.5344670060532</v>
      </c>
      <c r="E291" s="32" t="n">
        <f aca="false">20*LOG10(MAX(D291,0.000000000001)/$K$3)</f>
        <v>29.9757098993655</v>
      </c>
    </row>
    <row r="292" customFormat="false" ht="15" hidden="false" customHeight="false" outlineLevel="0" collapsed="false">
      <c r="A292" s="13" t="n">
        <f aca="false">A291+$F$3</f>
        <v>11440</v>
      </c>
      <c r="B292" s="20" t="n">
        <f aca="false">SUMPRODUCT(固有振動数!$Q$6:$Q$22*(1-($A292/固有振動数!$O$6:$O$22)^2)/((1-($A292/固有振動数!$O$6:$O$22)^2)^2+固有振動数!$P$6:$P$22^2))</f>
        <v>35.362149209017</v>
      </c>
      <c r="C292" s="20" t="n">
        <f aca="false">-SUMPRODUCT(固有振動数!$Q$6:$Q$22*固有振動数!$P$6:$P$22/((1-($A292/固有振動数!$O$6:$O$22)^2)^2+固有振動数!$P$6:$P$22^2))</f>
        <v>-0.132337464733862</v>
      </c>
      <c r="D292" s="20" t="n">
        <f aca="false">SQRT(B292^2+C292^2)</f>
        <v>35.3623968345665</v>
      </c>
      <c r="E292" s="32" t="n">
        <f aca="false">20*LOG10(MAX(D292,0.000000000001)/$K$3)</f>
        <v>30.9708338693256</v>
      </c>
    </row>
    <row r="293" customFormat="false" ht="15" hidden="false" customHeight="false" outlineLevel="0" collapsed="false">
      <c r="A293" s="13" t="n">
        <f aca="false">A292+$F$3</f>
        <v>11480</v>
      </c>
      <c r="B293" s="20" t="n">
        <f aca="false">SUMPRODUCT(固有振動数!$Q$6:$Q$22*(1-($A293/固有振動数!$O$6:$O$22)^2)/((1-($A293/固有振動数!$O$6:$O$22)^2)^2+固有振動数!$P$6:$P$22^2))</f>
        <v>40.5083677192022</v>
      </c>
      <c r="C293" s="20" t="n">
        <f aca="false">-SUMPRODUCT(固有振動数!$Q$6:$Q$22*固有振動数!$P$6:$P$22/((1-($A293/固有振動数!$O$6:$O$22)^2)^2+固有振動数!$P$6:$P$22^2))</f>
        <v>-0.182083065218195</v>
      </c>
      <c r="D293" s="20" t="n">
        <f aca="false">SQRT(B293^2+C293^2)</f>
        <v>40.5087769442221</v>
      </c>
      <c r="E293" s="32" t="n">
        <f aca="false">20*LOG10(MAX(D293,0.000000000001)/$K$3)</f>
        <v>32.1509826200806</v>
      </c>
    </row>
    <row r="294" customFormat="false" ht="15" hidden="false" customHeight="false" outlineLevel="0" collapsed="false">
      <c r="A294" s="13" t="n">
        <f aca="false">A293+$F$3</f>
        <v>11520</v>
      </c>
      <c r="B294" s="20" t="n">
        <f aca="false">SUMPRODUCT(固有振動数!$Q$6:$Q$22*(1-($A294/固有振動数!$O$6:$O$22)^2)/((1-($A294/固有振動数!$O$6:$O$22)^2)^2+固有振動数!$P$6:$P$22^2))</f>
        <v>47.927385069957</v>
      </c>
      <c r="C294" s="20" t="n">
        <f aca="false">-SUMPRODUCT(固有振動数!$Q$6:$Q$22*固有振動数!$P$6:$P$22/((1-($A294/固有振動数!$O$6:$O$22)^2)^2+固有振動数!$P$6:$P$22^2))</f>
        <v>-0.271807623383773</v>
      </c>
      <c r="D294" s="20" t="n">
        <f aca="false">SQRT(B294^2+C294^2)</f>
        <v>47.9281558066661</v>
      </c>
      <c r="E294" s="32" t="n">
        <f aca="false">20*LOG10(MAX(D294,0.000000000001)/$K$3)</f>
        <v>33.6118143681114</v>
      </c>
    </row>
    <row r="295" customFormat="false" ht="15" hidden="false" customHeight="false" outlineLevel="0" collapsed="false">
      <c r="A295" s="13" t="n">
        <f aca="false">A294+$F$3</f>
        <v>11560</v>
      </c>
      <c r="B295" s="20" t="n">
        <f aca="false">SUMPRODUCT(固有振動数!$Q$6:$Q$22*(1-($A295/固有振動数!$O$6:$O$22)^2)/((1-($A295/固有振動数!$O$6:$O$22)^2)^2+固有振動数!$P$6:$P$22^2))</f>
        <v>59.7905484752188</v>
      </c>
      <c r="C295" s="20" t="n">
        <f aca="false">-SUMPRODUCT(固有振動数!$Q$6:$Q$22*固有振動数!$P$6:$P$22/((1-($A295/固有振動数!$O$6:$O$22)^2)^2+固有振動数!$P$6:$P$22^2))</f>
        <v>-0.460057362497804</v>
      </c>
      <c r="D295" s="20" t="n">
        <f aca="false">SQRT(B295^2+C295^2)</f>
        <v>59.7923184008136</v>
      </c>
      <c r="E295" s="32" t="n">
        <f aca="false">20*LOG10(MAX(D295,0.000000000001)/$K$3)</f>
        <v>35.5329078635726</v>
      </c>
    </row>
    <row r="296" customFormat="false" ht="15" hidden="false" customHeight="false" outlineLevel="0" collapsed="false">
      <c r="A296" s="13" t="n">
        <f aca="false">A295+$F$3</f>
        <v>11600</v>
      </c>
      <c r="B296" s="20" t="n">
        <f aca="false">SUMPRODUCT(固有振動数!$Q$6:$Q$22*(1-($A296/固有振動数!$O$6:$O$22)^2)/((1-($A296/固有振動数!$O$6:$O$22)^2)^2+固有振動数!$P$6:$P$22^2))</f>
        <v>82.3480712501342</v>
      </c>
      <c r="C296" s="20" t="n">
        <f aca="false">-SUMPRODUCT(固有振動数!$Q$6:$Q$22*固有振動数!$P$6:$P$22/((1-($A296/固有振動数!$O$6:$O$22)^2)^2+固有振動数!$P$6:$P$22^2))</f>
        <v>-0.971695285707296</v>
      </c>
      <c r="D296" s="20" t="n">
        <f aca="false">SQRT(B296^2+C296^2)</f>
        <v>82.3538039822414</v>
      </c>
      <c r="E296" s="32" t="n">
        <f aca="false">20*LOG10(MAX(D296,0.000000000001)/$K$3)</f>
        <v>38.3136732869561</v>
      </c>
    </row>
    <row r="297" customFormat="false" ht="15" hidden="false" customHeight="false" outlineLevel="0" collapsed="false">
      <c r="A297" s="13" t="n">
        <f aca="false">A296+$F$3</f>
        <v>11640</v>
      </c>
      <c r="B297" s="20" t="n">
        <f aca="false">SUMPRODUCT(固有振動数!$Q$6:$Q$22*(1-($A297/固有振動数!$O$6:$O$22)^2)/((1-($A297/固有振動数!$O$6:$O$22)^2)^2+固有振動数!$P$6:$P$22^2))</f>
        <v>144.039178571115</v>
      </c>
      <c r="C297" s="20" t="n">
        <f aca="false">-SUMPRODUCT(固有振動数!$Q$6:$Q$22*固有振動数!$P$6:$P$22/((1-($A297/固有振動数!$O$6:$O$22)^2)^2+固有振動数!$P$6:$P$22^2))</f>
        <v>-3.40838195202752</v>
      </c>
      <c r="D297" s="20" t="n">
        <f aca="false">SQRT(B297^2+C297^2)</f>
        <v>144.079498996118</v>
      </c>
      <c r="E297" s="32" t="n">
        <f aca="false">20*LOG10(MAX(D297,0.000000000001)/$K$3)</f>
        <v>43.1720437930647</v>
      </c>
    </row>
    <row r="298" customFormat="false" ht="15" hidden="false" customHeight="false" outlineLevel="0" collapsed="false">
      <c r="A298" s="13" t="n">
        <f aca="false">A297+$F$3</f>
        <v>11680</v>
      </c>
      <c r="B298" s="20" t="n">
        <f aca="false">SUMPRODUCT(固有振動数!$Q$6:$Q$22*(1-($A298/固有振動数!$O$6:$O$22)^2)/((1-($A298/固有振動数!$O$6:$O$22)^2)^2+固有振動数!$P$6:$P$22^2))</f>
        <v>1130.68594172088</v>
      </c>
      <c r="C298" s="20" t="n">
        <f aca="false">-SUMPRODUCT(固有振動数!$Q$6:$Q$22*固有振動数!$P$6:$P$22/((1-($A298/固有振動数!$O$6:$O$22)^2)^2+固有振動数!$P$6:$P$22^2))</f>
        <v>-263.003451521424</v>
      </c>
      <c r="D298" s="20" t="n">
        <f aca="false">SQRT(B298^2+C298^2)</f>
        <v>1160.87101536623</v>
      </c>
      <c r="E298" s="32" t="n">
        <f aca="false">20*LOG10(MAX(D298,0.000000000001)/$K$3)</f>
        <v>61.2956793572757</v>
      </c>
    </row>
    <row r="299" customFormat="false" ht="15" hidden="false" customHeight="false" outlineLevel="0" collapsed="false">
      <c r="A299" s="13" t="n">
        <f aca="false">A298+$F$3</f>
        <v>11720</v>
      </c>
      <c r="B299" s="20" t="n">
        <f aca="false">SUMPRODUCT(固有振動数!$Q$6:$Q$22*(1-($A299/固有振動数!$O$6:$O$22)^2)/((1-($A299/固有振動数!$O$6:$O$22)^2)^2+固有振動数!$P$6:$P$22^2))</f>
        <v>-151.077063056581</v>
      </c>
      <c r="C299" s="20" t="n">
        <f aca="false">-SUMPRODUCT(固有振動数!$Q$6:$Q$22*固有振動数!$P$6:$P$22/((1-($A299/固有振動数!$O$6:$O$22)^2)^2+固有振動数!$P$6:$P$22^2))</f>
        <v>-5.56116553139247</v>
      </c>
      <c r="D299" s="20" t="n">
        <f aca="false">SQRT(B299^2+C299^2)</f>
        <v>151.179382006508</v>
      </c>
      <c r="E299" s="32" t="n">
        <f aca="false">20*LOG10(MAX(D299,0.000000000001)/$K$3)</f>
        <v>43.5898513138632</v>
      </c>
    </row>
    <row r="300" customFormat="false" ht="15" hidden="false" customHeight="false" outlineLevel="0" collapsed="false">
      <c r="A300" s="13" t="n">
        <f aca="false">A299+$F$3</f>
        <v>11760</v>
      </c>
      <c r="B300" s="20" t="n">
        <f aca="false">SUMPRODUCT(固有振動数!$Q$6:$Q$22*(1-($A300/固有振動数!$O$6:$O$22)^2)/((1-($A300/固有振動数!$O$6:$O$22)^2)^2+固有振動数!$P$6:$P$22^2))</f>
        <v>-61.631172252942</v>
      </c>
      <c r="C300" s="20" t="n">
        <f aca="false">-SUMPRODUCT(固有振動数!$Q$6:$Q$22*固有振動数!$P$6:$P$22/((1-($A300/固有振動数!$O$6:$O$22)^2)^2+固有振動数!$P$6:$P$22^2))</f>
        <v>-1.23003649253549</v>
      </c>
      <c r="D300" s="20" t="n">
        <f aca="false">SQRT(B300^2+C300^2)</f>
        <v>61.6434455805706</v>
      </c>
      <c r="E300" s="32" t="n">
        <f aca="false">20*LOG10(MAX(D300,0.000000000001)/$K$3)</f>
        <v>35.7977381151415</v>
      </c>
    </row>
    <row r="301" customFormat="false" ht="15" hidden="false" customHeight="false" outlineLevel="0" collapsed="false">
      <c r="A301" s="13" t="n">
        <f aca="false">A300+$F$3</f>
        <v>11800</v>
      </c>
      <c r="B301" s="20" t="n">
        <f aca="false">SUMPRODUCT(固有振動数!$Q$6:$Q$22*(1-($A301/固有振動数!$O$6:$O$22)^2)/((1-($A301/固有振動数!$O$6:$O$22)^2)^2+固有振動数!$P$6:$P$22^2))</f>
        <v>-33.7697154849726</v>
      </c>
      <c r="C301" s="20" t="n">
        <f aca="false">-SUMPRODUCT(固有振動数!$Q$6:$Q$22*固有振動数!$P$6:$P$22/((1-($A301/固有振動数!$O$6:$O$22)^2)^2+固有振動数!$P$6:$P$22^2))</f>
        <v>-0.539038047376453</v>
      </c>
      <c r="D301" s="20" t="n">
        <f aca="false">SQRT(B301^2+C301^2)</f>
        <v>33.7740173203088</v>
      </c>
      <c r="E301" s="32" t="n">
        <f aca="false">20*LOG10(MAX(D301,0.000000000001)/$K$3)</f>
        <v>30.5716544352576</v>
      </c>
    </row>
    <row r="302" customFormat="false" ht="15" hidden="false" customHeight="false" outlineLevel="0" collapsed="false">
      <c r="A302" s="13" t="n">
        <f aca="false">A301+$F$3</f>
        <v>11840</v>
      </c>
      <c r="B302" s="20" t="n">
        <f aca="false">SUMPRODUCT(固有振動数!$Q$6:$Q$22*(1-($A302/固有振動数!$O$6:$O$22)^2)/((1-($A302/固有振動数!$O$6:$O$22)^2)^2+固有振動数!$P$6:$P$22^2))</f>
        <v>-19.7777716824032</v>
      </c>
      <c r="C302" s="20" t="n">
        <f aca="false">-SUMPRODUCT(固有振動数!$Q$6:$Q$22*固有振動数!$P$6:$P$22/((1-($A302/固有振動数!$O$6:$O$22)^2)^2+固有振動数!$P$6:$P$22^2))</f>
        <v>-0.311739098667432</v>
      </c>
      <c r="D302" s="20" t="n">
        <f aca="false">SQRT(B302^2+C302^2)</f>
        <v>19.7802283603327</v>
      </c>
      <c r="E302" s="32" t="n">
        <f aca="false">20*LOG10(MAX(D302,0.000000000001)/$K$3)</f>
        <v>25.9246260233424</v>
      </c>
    </row>
    <row r="303" customFormat="false" ht="15" hidden="false" customHeight="false" outlineLevel="0" collapsed="false">
      <c r="A303" s="13" t="n">
        <f aca="false">A302+$F$3</f>
        <v>11880</v>
      </c>
      <c r="B303" s="20" t="n">
        <f aca="false">SUMPRODUCT(固有振動数!$Q$6:$Q$22*(1-($A303/固有振動数!$O$6:$O$22)^2)/((1-($A303/固有振動数!$O$6:$O$22)^2)^2+固有振動数!$P$6:$P$22^2))</f>
        <v>-11.0469776758362</v>
      </c>
      <c r="C303" s="20" t="n">
        <f aca="false">-SUMPRODUCT(固有振動数!$Q$6:$Q$22*固有振動数!$P$6:$P$22/((1-($A303/固有振動数!$O$6:$O$22)^2)^2+固有振動数!$P$6:$P$22^2))</f>
        <v>-0.211968770439802</v>
      </c>
      <c r="D303" s="20" t="n">
        <f aca="false">SQRT(B303^2+C303^2)</f>
        <v>11.0490111109576</v>
      </c>
      <c r="E303" s="32" t="n">
        <f aca="false">20*LOG10(MAX(D303,0.000000000001)/$K$3)</f>
        <v>20.8664682060832</v>
      </c>
    </row>
    <row r="304" customFormat="false" ht="15" hidden="false" customHeight="false" outlineLevel="0" collapsed="false">
      <c r="A304" s="13" t="n">
        <f aca="false">A303+$F$3</f>
        <v>11920</v>
      </c>
      <c r="B304" s="20" t="n">
        <f aca="false">SUMPRODUCT(固有振動数!$Q$6:$Q$22*(1-($A304/固有振動数!$O$6:$O$22)^2)/((1-($A304/固有振動数!$O$6:$O$22)^2)^2+固有振動数!$P$6:$P$22^2))</f>
        <v>-4.80524640224701</v>
      </c>
      <c r="C304" s="20" t="n">
        <f aca="false">-SUMPRODUCT(固有振動数!$Q$6:$Q$22*固有振動数!$P$6:$P$22/((1-($A304/固有振動数!$O$6:$O$22)^2)^2+固有振動数!$P$6:$P$22^2))</f>
        <v>-0.161664788984962</v>
      </c>
      <c r="D304" s="20" t="n">
        <f aca="false">SQRT(B304^2+C304^2)</f>
        <v>4.80796510909817</v>
      </c>
      <c r="E304" s="32" t="n">
        <f aca="false">20*LOG10(MAX(D304,0.000000000001)/$K$3)</f>
        <v>13.6392261475263</v>
      </c>
    </row>
    <row r="305" customFormat="false" ht="15" hidden="false" customHeight="false" outlineLevel="0" collapsed="false">
      <c r="A305" s="13" t="n">
        <f aca="false">A304+$F$3</f>
        <v>11960</v>
      </c>
      <c r="B305" s="20" t="n">
        <f aca="false">SUMPRODUCT(固有振動数!$Q$6:$Q$22*(1-($A305/固有振動数!$O$6:$O$22)^2)/((1-($A305/固有振動数!$O$6:$O$22)^2)^2+固有振動数!$P$6:$P$22^2))</f>
        <v>0.135010853821523</v>
      </c>
      <c r="C305" s="20" t="n">
        <f aca="false">-SUMPRODUCT(固有振動数!$Q$6:$Q$22*固有振動数!$P$6:$P$22/((1-($A305/固有振動数!$O$6:$O$22)^2)^2+固有振動数!$P$6:$P$22^2))</f>
        <v>-0.13524473194866</v>
      </c>
      <c r="D305" s="20" t="n">
        <f aca="false">SQRT(B305^2+C305^2)</f>
        <v>0.191099628909847</v>
      </c>
      <c r="E305" s="32" t="n">
        <f aca="false">20*LOG10(MAX(D305,0.000000000001)/$K$3)</f>
        <v>-14.3748031257299</v>
      </c>
    </row>
    <row r="306" customFormat="false" ht="15" hidden="false" customHeight="false" outlineLevel="0" collapsed="false">
      <c r="A306" s="13" t="n">
        <f aca="false">A305+$F$3</f>
        <v>12000</v>
      </c>
      <c r="B306" s="20" t="n">
        <f aca="false">SUMPRODUCT(固有振動数!$Q$6:$Q$22*(1-($A306/固有振動数!$O$6:$O$22)^2)/((1-($A306/固有振動数!$O$6:$O$22)^2)^2+固有振動数!$P$6:$P$22^2))</f>
        <v>4.39486050488752</v>
      </c>
      <c r="C306" s="20" t="n">
        <f aca="false">-SUMPRODUCT(固有振動数!$Q$6:$Q$22*固有振動数!$P$6:$P$22/((1-($A306/固有振動数!$O$6:$O$22)^2)^2+固有振動数!$P$6:$P$22^2))</f>
        <v>-0.122700910137833</v>
      </c>
      <c r="D306" s="20" t="n">
        <f aca="false">SQRT(B306^2+C306^2)</f>
        <v>4.39657302575186</v>
      </c>
      <c r="E306" s="32" t="n">
        <f aca="false">20*LOG10(MAX(D306,0.000000000001)/$K$3)</f>
        <v>12.8622858210875</v>
      </c>
    </row>
    <row r="307" customFormat="false" ht="15" hidden="false" customHeight="false" outlineLevel="0" collapsed="false">
      <c r="A307" s="13" t="n">
        <f aca="false">A306+$F$3</f>
        <v>12040</v>
      </c>
      <c r="B307" s="20" t="n">
        <f aca="false">SUMPRODUCT(固有振動数!$Q$6:$Q$22*(1-($A307/固有振動数!$O$6:$O$22)^2)/((1-($A307/固有振動数!$O$6:$O$22)^2)^2+固有振動数!$P$6:$P$22^2))</f>
        <v>8.36609312140855</v>
      </c>
      <c r="C307" s="20" t="n">
        <f aca="false">-SUMPRODUCT(固有振動数!$Q$6:$Q$22*固有振動数!$P$6:$P$22/((1-($A307/固有振動数!$O$6:$O$22)^2)^2+固有振動数!$P$6:$P$22^2))</f>
        <v>-0.120020033249932</v>
      </c>
      <c r="D307" s="20" t="n">
        <f aca="false">SQRT(B307^2+C307^2)</f>
        <v>8.36695398125631</v>
      </c>
      <c r="E307" s="32" t="n">
        <f aca="false">20*LOG10(MAX(D307,0.000000000001)/$K$3)</f>
        <v>18.4513476069369</v>
      </c>
    </row>
    <row r="308" customFormat="false" ht="15" hidden="false" customHeight="false" outlineLevel="0" collapsed="false">
      <c r="A308" s="13" t="n">
        <f aca="false">A307+$F$3</f>
        <v>12080</v>
      </c>
      <c r="B308" s="20" t="n">
        <f aca="false">SUMPRODUCT(固有振動数!$Q$6:$Q$22*(1-($A308/固有振動数!$O$6:$O$22)^2)/((1-($A308/固有振動数!$O$6:$O$22)^2)^2+固有振動数!$P$6:$P$22^2))</f>
        <v>12.3559937791046</v>
      </c>
      <c r="C308" s="20" t="n">
        <f aca="false">-SUMPRODUCT(固有振動数!$Q$6:$Q$22*固有振動数!$P$6:$P$22/((1-($A308/固有振動数!$O$6:$O$22)^2)^2+固有振動数!$P$6:$P$22^2))</f>
        <v>-0.126248026693424</v>
      </c>
      <c r="D308" s="20" t="n">
        <f aca="false">SQRT(B308^2+C308^2)</f>
        <v>12.3566387352514</v>
      </c>
      <c r="E308" s="32" t="n">
        <f aca="false">20*LOG10(MAX(D308,0.000000000001)/$K$3)</f>
        <v>21.8380069923056</v>
      </c>
    </row>
    <row r="309" customFormat="false" ht="15" hidden="false" customHeight="false" outlineLevel="0" collapsed="false">
      <c r="A309" s="13" t="n">
        <f aca="false">A308+$F$3</f>
        <v>12120</v>
      </c>
      <c r="B309" s="20" t="n">
        <f aca="false">SUMPRODUCT(固有振動数!$Q$6:$Q$22*(1-($A309/固有振動数!$O$6:$O$22)^2)/((1-($A309/固有振動数!$O$6:$O$22)^2)^2+固有振動数!$P$6:$P$22^2))</f>
        <v>16.6749178130228</v>
      </c>
      <c r="C309" s="20" t="n">
        <f aca="false">-SUMPRODUCT(固有振動数!$Q$6:$Q$22*固有振動数!$P$6:$P$22/((1-($A309/固有振動数!$O$6:$O$22)^2)^2+固有振動数!$P$6:$P$22^2))</f>
        <v>-0.14284621984826</v>
      </c>
      <c r="D309" s="20" t="n">
        <f aca="false">SQRT(B309^2+C309^2)</f>
        <v>16.6755296501668</v>
      </c>
      <c r="E309" s="32" t="n">
        <f aca="false">20*LOG10(MAX(D309,0.000000000001)/$K$3)</f>
        <v>24.4415927384185</v>
      </c>
    </row>
    <row r="310" customFormat="false" ht="15" hidden="false" customHeight="false" outlineLevel="0" collapsed="false">
      <c r="A310" s="13" t="n">
        <f aca="false">A309+$F$3</f>
        <v>12160</v>
      </c>
      <c r="B310" s="20" t="n">
        <f aca="false">SUMPRODUCT(固有振動数!$Q$6:$Q$22*(1-($A310/固有振動数!$O$6:$O$22)^2)/((1-($A310/固有振動数!$O$6:$O$22)^2)^2+固有振動数!$P$6:$P$22^2))</f>
        <v>21.7249986565725</v>
      </c>
      <c r="C310" s="20" t="n">
        <f aca="false">-SUMPRODUCT(固有振動数!$Q$6:$Q$22*固有振動数!$P$6:$P$22/((1-($A310/固有振動数!$O$6:$O$22)^2)^2+固有振動数!$P$6:$P$22^2))</f>
        <v>-0.174537364681027</v>
      </c>
      <c r="D310" s="20" t="n">
        <f aca="false">SQRT(B310^2+C310^2)</f>
        <v>21.7256997567339</v>
      </c>
      <c r="E310" s="32" t="n">
        <f aca="false">20*LOG10(MAX(D310,0.000000000001)/$K$3)</f>
        <v>26.7394754682084</v>
      </c>
    </row>
    <row r="311" customFormat="false" ht="15" hidden="false" customHeight="false" outlineLevel="0" collapsed="false">
      <c r="A311" s="13" t="n">
        <f aca="false">A310+$F$3</f>
        <v>12200</v>
      </c>
      <c r="B311" s="20" t="n">
        <f aca="false">SUMPRODUCT(固有振動数!$Q$6:$Q$22*(1-($A311/固有振動数!$O$6:$O$22)^2)/((1-($A311/固有振動数!$O$6:$O$22)^2)^2+固有振動数!$P$6:$P$22^2))</f>
        <v>28.1491317806323</v>
      </c>
      <c r="C311" s="20" t="n">
        <f aca="false">-SUMPRODUCT(固有振動数!$Q$6:$Q$22*固有振動数!$P$6:$P$22/((1-($A311/固有振動数!$O$6:$O$22)^2)^2+固有振動数!$P$6:$P$22^2))</f>
        <v>-0.232612955887235</v>
      </c>
      <c r="D311" s="20" t="n">
        <f aca="false">SQRT(B311^2+C311^2)</f>
        <v>28.1500928735706</v>
      </c>
      <c r="E311" s="32" t="n">
        <f aca="false">20*LOG10(MAX(D311,0.000000000001)/$K$3)</f>
        <v>28.9895966405236</v>
      </c>
    </row>
    <row r="312" customFormat="false" ht="15" hidden="false" customHeight="false" outlineLevel="0" collapsed="false">
      <c r="A312" s="13" t="n">
        <f aca="false">A311+$F$3</f>
        <v>12240</v>
      </c>
      <c r="B312" s="20" t="n">
        <f aca="false">SUMPRODUCT(固有振動数!$Q$6:$Q$22*(1-($A312/固有振動数!$O$6:$O$22)^2)/((1-($A312/固有振動数!$O$6:$O$22)^2)^2+固有振動数!$P$6:$P$22^2))</f>
        <v>37.1789624228687</v>
      </c>
      <c r="C312" s="20" t="n">
        <f aca="false">-SUMPRODUCT(固有振動数!$Q$6:$Q$22*固有振動数!$P$6:$P$22/((1-($A312/固有振動数!$O$6:$O$22)^2)^2+固有振動数!$P$6:$P$22^2))</f>
        <v>-0.345493817467904</v>
      </c>
      <c r="D312" s="20" t="n">
        <f aca="false">SQRT(B312^2+C312^2)</f>
        <v>37.1805676774709</v>
      </c>
      <c r="E312" s="32" t="n">
        <f aca="false">20*LOG10(MAX(D312,0.000000000001)/$K$3)</f>
        <v>31.4063203269591</v>
      </c>
    </row>
    <row r="313" customFormat="false" ht="15" hidden="false" customHeight="false" outlineLevel="0" collapsed="false">
      <c r="A313" s="13" t="n">
        <f aca="false">A312+$F$3</f>
        <v>12280</v>
      </c>
      <c r="B313" s="20" t="n">
        <f aca="false">SUMPRODUCT(固有振動数!$Q$6:$Q$22*(1-($A313/固有振動数!$O$6:$O$22)^2)/((1-($A313/固有振動数!$O$6:$O$22)^2)^2+固有振動数!$P$6:$P$22^2))</f>
        <v>51.6808205082534</v>
      </c>
      <c r="C313" s="20" t="n">
        <f aca="false">-SUMPRODUCT(固有振動数!$Q$6:$Q$22*固有振動数!$P$6:$P$22/((1-($A313/固有振動数!$O$6:$O$22)^2)^2+固有振動数!$P$6:$P$22^2))</f>
        <v>-0.598966204309432</v>
      </c>
      <c r="D313" s="20" t="n">
        <f aca="false">SQRT(B313^2+C313^2)</f>
        <v>51.6842913168035</v>
      </c>
      <c r="E313" s="32" t="n">
        <f aca="false">20*LOG10(MAX(D313,0.000000000001)/$K$3)</f>
        <v>34.267171314073</v>
      </c>
    </row>
    <row r="314" customFormat="false" ht="15" hidden="false" customHeight="false" outlineLevel="0" collapsed="false">
      <c r="A314" s="13" t="n">
        <f aca="false">A313+$F$3</f>
        <v>12320</v>
      </c>
      <c r="B314" s="20" t="n">
        <f aca="false">SUMPRODUCT(固有振動数!$Q$6:$Q$22*(1-($A314/固有振動数!$O$6:$O$22)^2)/((1-($A314/固有振動数!$O$6:$O$22)^2)^2+固有振動数!$P$6:$P$22^2))</f>
        <v>80.481308653691</v>
      </c>
      <c r="C314" s="20" t="n">
        <f aca="false">-SUMPRODUCT(固有振動数!$Q$6:$Q$22*固有振動数!$P$6:$P$22/((1-($A314/固有振動数!$O$6:$O$22)^2)^2+固有振動数!$P$6:$P$22^2))</f>
        <v>-1.35715594304945</v>
      </c>
      <c r="D314" s="20" t="n">
        <f aca="false">SQRT(B314^2+C314^2)</f>
        <v>80.4927506975904</v>
      </c>
      <c r="E314" s="32" t="n">
        <f aca="false">20*LOG10(MAX(D314,0.000000000001)/$K$3)</f>
        <v>38.1151353778414</v>
      </c>
    </row>
    <row r="315" customFormat="false" ht="15" hidden="false" customHeight="false" outlineLevel="0" collapsed="false">
      <c r="A315" s="13" t="n">
        <f aca="false">A314+$F$3</f>
        <v>12360</v>
      </c>
      <c r="B315" s="20" t="n">
        <f aca="false">SUMPRODUCT(固有振動数!$Q$6:$Q$22*(1-($A315/固有振動数!$O$6:$O$22)^2)/((1-($A315/固有振動数!$O$6:$O$22)^2)^2+固有振動数!$P$6:$P$22^2))</f>
        <v>171.384692464217</v>
      </c>
      <c r="C315" s="20" t="n">
        <f aca="false">-SUMPRODUCT(固有振動数!$Q$6:$Q$22*固有振動数!$P$6:$P$22/((1-($A315/固有振動数!$O$6:$O$22)^2)^2+固有振動数!$P$6:$P$22^2))</f>
        <v>-5.94168740121098</v>
      </c>
      <c r="D315" s="20" t="n">
        <f aca="false">SQRT(B315^2+C315^2)</f>
        <v>171.487656874272</v>
      </c>
      <c r="E315" s="32" t="n">
        <f aca="false">20*LOG10(MAX(D315,0.000000000001)/$K$3)</f>
        <v>44.6846573278899</v>
      </c>
    </row>
    <row r="316" customFormat="false" ht="15" hidden="false" customHeight="false" outlineLevel="0" collapsed="false">
      <c r="A316" s="13" t="n">
        <f aca="false">A315+$F$3</f>
        <v>12400</v>
      </c>
      <c r="B316" s="20" t="n">
        <f aca="false">SUMPRODUCT(固有振動数!$Q$6:$Q$22*(1-($A316/固有振動数!$O$6:$O$22)^2)/((1-($A316/固有振動数!$O$6:$O$22)^2)^2+固有振動数!$P$6:$P$22^2))</f>
        <v>-1427.64096611343</v>
      </c>
      <c r="C316" s="20" t="n">
        <f aca="false">-SUMPRODUCT(固有振動数!$Q$6:$Q$22*固有振動数!$P$6:$P$22/((1-($A316/固有振動数!$O$6:$O$22)^2)^2+固有振動数!$P$6:$P$22^2))</f>
        <v>-447.730288137702</v>
      </c>
      <c r="D316" s="20" t="n">
        <f aca="false">SQRT(B316^2+C316^2)</f>
        <v>1496.20223868338</v>
      </c>
      <c r="E316" s="32" t="n">
        <f aca="false">20*LOG10(MAX(D316,0.000000000001)/$K$3)</f>
        <v>63.4998060043652</v>
      </c>
    </row>
    <row r="317" customFormat="false" ht="15" hidden="false" customHeight="false" outlineLevel="0" collapsed="false">
      <c r="A317" s="13" t="n">
        <f aca="false">A316+$F$3</f>
        <v>12440</v>
      </c>
      <c r="B317" s="20" t="n">
        <f aca="false">SUMPRODUCT(固有振動数!$Q$6:$Q$22*(1-($A317/固有振動数!$O$6:$O$22)^2)/((1-($A317/固有振動数!$O$6:$O$22)^2)^2+固有振動数!$P$6:$P$22^2))</f>
        <v>-140.137837730863</v>
      </c>
      <c r="C317" s="20" t="n">
        <f aca="false">-SUMPRODUCT(固有振動数!$Q$6:$Q$22*固有振動数!$P$6:$P$22/((1-($A317/固有振動数!$O$6:$O$22)^2)^2+固有振動数!$P$6:$P$22^2))</f>
        <v>-3.97593593217606</v>
      </c>
      <c r="D317" s="20" t="n">
        <f aca="false">SQRT(B317^2+C317^2)</f>
        <v>140.19422823504</v>
      </c>
      <c r="E317" s="32" t="n">
        <f aca="false">20*LOG10(MAX(D317,0.000000000001)/$K$3)</f>
        <v>42.9346026838437</v>
      </c>
    </row>
    <row r="318" customFormat="false" ht="15" hidden="false" customHeight="false" outlineLevel="0" collapsed="false">
      <c r="A318" s="13" t="n">
        <f aca="false">A317+$F$3</f>
        <v>12480</v>
      </c>
      <c r="B318" s="20" t="n">
        <f aca="false">SUMPRODUCT(固有振動数!$Q$6:$Q$22*(1-($A318/固有振動数!$O$6:$O$22)^2)/((1-($A318/固有振動数!$O$6:$O$22)^2)^2+固有振動数!$P$6:$P$22^2))</f>
        <v>-72.5563380205502</v>
      </c>
      <c r="C318" s="20" t="n">
        <f aca="false">-SUMPRODUCT(固有振動数!$Q$6:$Q$22*固有振動数!$P$6:$P$22/((1-($A318/固有振動数!$O$6:$O$22)^2)^2+固有振動数!$P$6:$P$22^2))</f>
        <v>-1.09732596056588</v>
      </c>
      <c r="D318" s="20" t="n">
        <f aca="false">SQRT(B318^2+C318^2)</f>
        <v>72.5646354033153</v>
      </c>
      <c r="E318" s="32" t="n">
        <f aca="false">20*LOG10(MAX(D318,0.000000000001)/$K$3)</f>
        <v>37.2145003503299</v>
      </c>
    </row>
    <row r="319" customFormat="false" ht="15" hidden="false" customHeight="false" outlineLevel="0" collapsed="false">
      <c r="A319" s="13" t="n">
        <f aca="false">A318+$F$3</f>
        <v>12520</v>
      </c>
      <c r="B319" s="20" t="n">
        <f aca="false">SUMPRODUCT(固有振動数!$Q$6:$Q$22*(1-($A319/固有振動数!$O$6:$O$22)^2)/((1-($A319/固有振動数!$O$6:$O$22)^2)^2+固有振動数!$P$6:$P$22^2))</f>
        <v>-48.2939267826757</v>
      </c>
      <c r="C319" s="20" t="n">
        <f aca="false">-SUMPRODUCT(固有振動数!$Q$6:$Q$22*固有振動数!$P$6:$P$22/((1-($A319/固有振動数!$O$6:$O$22)^2)^2+固有振動数!$P$6:$P$22^2))</f>
        <v>-0.508853585761989</v>
      </c>
      <c r="D319" s="20" t="n">
        <f aca="false">SQRT(B319^2+C319^2)</f>
        <v>48.29660750055</v>
      </c>
      <c r="E319" s="32" t="n">
        <f aca="false">20*LOG10(MAX(D319,0.000000000001)/$K$3)</f>
        <v>33.6783325133591</v>
      </c>
    </row>
    <row r="320" customFormat="false" ht="15" hidden="false" customHeight="false" outlineLevel="0" collapsed="false">
      <c r="A320" s="13" t="n">
        <f aca="false">A319+$F$3</f>
        <v>12560</v>
      </c>
      <c r="B320" s="20" t="n">
        <f aca="false">SUMPRODUCT(固有振動数!$Q$6:$Q$22*(1-($A320/固有振動数!$O$6:$O$22)^2)/((1-($A320/固有振動数!$O$6:$O$22)^2)^2+固有振動数!$P$6:$P$22^2))</f>
        <v>-35.6820841865975</v>
      </c>
      <c r="C320" s="20" t="n">
        <f aca="false">-SUMPRODUCT(固有振動数!$Q$6:$Q$22*固有振動数!$P$6:$P$22/((1-($A320/固有振動数!$O$6:$O$22)^2)^2+固有振動数!$P$6:$P$22^2))</f>
        <v>-0.295010030203715</v>
      </c>
      <c r="D320" s="20" t="n">
        <f aca="false">SQRT(B320^2+C320^2)</f>
        <v>35.6833036981913</v>
      </c>
      <c r="E320" s="32" t="n">
        <f aca="false">20*LOG10(MAX(D320,0.000000000001)/$K$3)</f>
        <v>31.049301124549</v>
      </c>
    </row>
    <row r="321" customFormat="false" ht="15" hidden="false" customHeight="false" outlineLevel="0" collapsed="false">
      <c r="A321" s="13" t="n">
        <f aca="false">A320+$F$3</f>
        <v>12600</v>
      </c>
      <c r="B321" s="20" t="n">
        <f aca="false">SUMPRODUCT(固有振動数!$Q$6:$Q$22*(1-($A321/固有振動数!$O$6:$O$22)^2)/((1-($A321/固有振動数!$O$6:$O$22)^2)^2+固有振動数!$P$6:$P$22^2))</f>
        <v>-27.8829377426745</v>
      </c>
      <c r="C321" s="20" t="n">
        <f aca="false">-SUMPRODUCT(固有振動数!$Q$6:$Q$22*固有振動数!$P$6:$P$22/((1-($A321/固有振動数!$O$6:$O$22)^2)^2+固有振動数!$P$6:$P$22^2))</f>
        <v>-0.193896287221913</v>
      </c>
      <c r="D321" s="20" t="n">
        <f aca="false">SQRT(B321^2+C321^2)</f>
        <v>27.883611906137</v>
      </c>
      <c r="E321" s="32" t="n">
        <f aca="false">20*LOG10(MAX(D321,0.000000000001)/$K$3)</f>
        <v>28.9069805888808</v>
      </c>
    </row>
    <row r="322" customFormat="false" ht="15" hidden="false" customHeight="false" outlineLevel="0" collapsed="false">
      <c r="A322" s="13" t="n">
        <f aca="false">A321+$F$3</f>
        <v>12640</v>
      </c>
      <c r="B322" s="20" t="n">
        <f aca="false">SUMPRODUCT(固有振動数!$Q$6:$Q$22*(1-($A322/固有振動数!$O$6:$O$22)^2)/((1-($A322/固有振動数!$O$6:$O$22)^2)^2+固有振動数!$P$6:$P$22^2))</f>
        <v>-22.5402360346339</v>
      </c>
      <c r="C322" s="20" t="n">
        <f aca="false">-SUMPRODUCT(固有振動数!$Q$6:$Q$22*固有振動数!$P$6:$P$22/((1-($A322/固有振動数!$O$6:$O$22)^2)^2+固有振動数!$P$6:$P$22^2))</f>
        <v>-0.138142921783302</v>
      </c>
      <c r="D322" s="20" t="n">
        <f aca="false">SQRT(B322^2+C322^2)</f>
        <v>22.54065935069</v>
      </c>
      <c r="E322" s="32" t="n">
        <f aca="false">20*LOG10(MAX(D322,0.000000000001)/$K$3)</f>
        <v>27.0593323142178</v>
      </c>
    </row>
    <row r="323" customFormat="false" ht="15" hidden="false" customHeight="false" outlineLevel="0" collapsed="false">
      <c r="A323" s="13" t="n">
        <f aca="false">A322+$F$3</f>
        <v>12680</v>
      </c>
      <c r="B323" s="20" t="n">
        <f aca="false">SUMPRODUCT(固有振動数!$Q$6:$Q$22*(1-($A323/固有振動数!$O$6:$O$22)^2)/((1-($A323/固有振動数!$O$6:$O$22)^2)^2+固有振動数!$P$6:$P$22^2))</f>
        <v>-18.6237617981956</v>
      </c>
      <c r="C323" s="20" t="n">
        <f aca="false">-SUMPRODUCT(固有振動数!$Q$6:$Q$22*固有振動数!$P$6:$P$22/((1-($A323/固有振動数!$O$6:$O$22)^2)^2+固有振動数!$P$6:$P$22^2))</f>
        <v>-0.104121244240977</v>
      </c>
      <c r="D323" s="20" t="n">
        <f aca="false">SQRT(B323^2+C323^2)</f>
        <v>18.6240528550966</v>
      </c>
      <c r="E323" s="32" t="n">
        <f aca="false">20*LOG10(MAX(D323,0.000000000001)/$K$3)</f>
        <v>25.4014839100018</v>
      </c>
    </row>
    <row r="324" customFormat="false" ht="15" hidden="false" customHeight="false" outlineLevel="0" collapsed="false">
      <c r="A324" s="13" t="n">
        <f aca="false">A323+$F$3</f>
        <v>12720</v>
      </c>
      <c r="B324" s="20" t="n">
        <f aca="false">SUMPRODUCT(固有振動数!$Q$6:$Q$22*(1-($A324/固有振動数!$O$6:$O$22)^2)/((1-($A324/固有振動数!$O$6:$O$22)^2)^2+固有振動数!$P$6:$P$22^2))</f>
        <v>-15.6110284706362</v>
      </c>
      <c r="C324" s="20" t="n">
        <f aca="false">-SUMPRODUCT(固有振動数!$Q$6:$Q$22*固有振動数!$P$6:$P$22/((1-($A324/固有振動数!$O$6:$O$22)^2)^2+固有振動数!$P$6:$P$22^2))</f>
        <v>-0.081809423643016</v>
      </c>
      <c r="D324" s="20" t="n">
        <f aca="false">SQRT(B324^2+C324^2)</f>
        <v>15.6112428298586</v>
      </c>
      <c r="E324" s="32" t="n">
        <f aca="false">20*LOG10(MAX(D324,0.000000000001)/$K$3)</f>
        <v>23.8687495829187</v>
      </c>
    </row>
    <row r="325" customFormat="false" ht="15" hidden="false" customHeight="false" outlineLevel="0" collapsed="false">
      <c r="A325" s="13" t="n">
        <f aca="false">A324+$F$3</f>
        <v>12760</v>
      </c>
      <c r="B325" s="20" t="n">
        <f aca="false">SUMPRODUCT(固有振動数!$Q$6:$Q$22*(1-($A325/固有振動数!$O$6:$O$22)^2)/((1-($A325/固有振動数!$O$6:$O$22)^2)^2+固有振動数!$P$6:$P$22^2))</f>
        <v>-13.2084667689458</v>
      </c>
      <c r="C325" s="20" t="n">
        <f aca="false">-SUMPRODUCT(固有振動数!$Q$6:$Q$22*固有振動数!$P$6:$P$22/((1-($A325/固有振動数!$O$6:$O$22)^2)^2+固有振動数!$P$6:$P$22^2))</f>
        <v>-0.0663667837235973</v>
      </c>
      <c r="D325" s="20" t="n">
        <f aca="false">SQRT(B325^2+C325^2)</f>
        <v>13.2086334999624</v>
      </c>
      <c r="E325" s="32" t="n">
        <f aca="false">20*LOG10(MAX(D325,0.000000000001)/$K$3)</f>
        <v>22.4171577994923</v>
      </c>
    </row>
    <row r="326" customFormat="false" ht="15" hidden="false" customHeight="false" outlineLevel="0" collapsed="false">
      <c r="A326" s="13" t="n">
        <f aca="false">A325+$F$3</f>
        <v>12800</v>
      </c>
      <c r="B326" s="20" t="n">
        <f aca="false">SUMPRODUCT(固有振動数!$Q$6:$Q$22*(1-($A326/固有振動数!$O$6:$O$22)^2)/((1-($A326/固有振動数!$O$6:$O$22)^2)^2+固有振動数!$P$6:$P$22^2))</f>
        <v>-11.238213418743</v>
      </c>
      <c r="C326" s="20" t="n">
        <f aca="false">-SUMPRODUCT(固有振動数!$Q$6:$Q$22*固有振動数!$P$6:$P$22/((1-($A326/固有振動数!$O$6:$O$22)^2)^2+固有振動数!$P$6:$P$22^2))</f>
        <v>-0.0552219776620601</v>
      </c>
      <c r="D326" s="20" t="n">
        <f aca="false">SQRT(B326^2+C326^2)</f>
        <v>11.2383490919277</v>
      </c>
      <c r="E326" s="32" t="n">
        <f aca="false">20*LOG10(MAX(D326,0.000000000001)/$K$3)</f>
        <v>21.014050365363</v>
      </c>
    </row>
    <row r="327" customFormat="false" ht="15" hidden="false" customHeight="false" outlineLevel="0" collapsed="false">
      <c r="A327" s="13" t="n">
        <f aca="false">A326+$F$3</f>
        <v>12840</v>
      </c>
      <c r="B327" s="20" t="n">
        <f aca="false">SUMPRODUCT(固有振動数!$Q$6:$Q$22*(1-($A327/固有振動数!$O$6:$O$22)^2)/((1-($A327/固有振動数!$O$6:$O$22)^2)^2+固有振動数!$P$6:$P$22^2))</f>
        <v>-9.58607459120333</v>
      </c>
      <c r="C327" s="20" t="n">
        <f aca="false">-SUMPRODUCT(固有振動数!$Q$6:$Q$22*固有振動数!$P$6:$P$22/((1-($A327/固有振動数!$O$6:$O$22)^2)^2+固有振動数!$P$6:$P$22^2))</f>
        <v>-0.046905928298025</v>
      </c>
      <c r="D327" s="20" t="n">
        <f aca="false">SQRT(B327^2+C327^2)</f>
        <v>9.5861893489657</v>
      </c>
      <c r="E327" s="32" t="n">
        <f aca="false">20*LOG10(MAX(D327,0.000000000001)/$K$3)</f>
        <v>19.6329200608158</v>
      </c>
    </row>
    <row r="328" customFormat="false" ht="15" hidden="false" customHeight="false" outlineLevel="0" collapsed="false">
      <c r="A328" s="13" t="n">
        <f aca="false">A327+$F$3</f>
        <v>12880</v>
      </c>
      <c r="B328" s="20" t="n">
        <f aca="false">SUMPRODUCT(固有振動数!$Q$6:$Q$22*(1-($A328/固有振動数!$O$6:$O$22)^2)/((1-($A328/固有振動数!$O$6:$O$22)^2)^2+固有振動数!$P$6:$P$22^2))</f>
        <v>-8.17527780453492</v>
      </c>
      <c r="C328" s="20" t="n">
        <f aca="false">-SUMPRODUCT(固有振動数!$Q$6:$Q$22*固有振動数!$P$6:$P$22/((1-($A328/固有振動数!$O$6:$O$22)^2)^2+固有振動数!$P$6:$P$22^2))</f>
        <v>-0.0405294688344509</v>
      </c>
      <c r="D328" s="20" t="n">
        <f aca="false">SQRT(B328^2+C328^2)</f>
        <v>8.17537826765008</v>
      </c>
      <c r="E328" s="32" t="n">
        <f aca="false">20*LOG10(MAX(D328,0.000000000001)/$K$3)</f>
        <v>18.250157124512</v>
      </c>
    </row>
    <row r="329" customFormat="false" ht="15" hidden="false" customHeight="false" outlineLevel="0" collapsed="false">
      <c r="A329" s="13" t="n">
        <f aca="false">A328+$F$3</f>
        <v>12920</v>
      </c>
      <c r="B329" s="20" t="n">
        <f aca="false">SUMPRODUCT(固有振動数!$Q$6:$Q$22*(1-($A329/固有振動数!$O$6:$O$22)^2)/((1-($A329/固有振動数!$O$6:$O$22)^2)^2+固有振動数!$P$6:$P$22^2))</f>
        <v>-6.95223509277342</v>
      </c>
      <c r="C329" s="20" t="n">
        <f aca="false">-SUMPRODUCT(固有振動数!$Q$6:$Q$22*固有振動数!$P$6:$P$22/((1-($A329/固有振動数!$O$6:$O$22)^2)^2+固有振動数!$P$6:$P$22^2))</f>
        <v>-0.0355285889818395</v>
      </c>
      <c r="D329" s="20" t="n">
        <f aca="false">SQRT(B329^2+C329^2)</f>
        <v>6.95232587454193</v>
      </c>
      <c r="E329" s="32" t="n">
        <f aca="false">20*LOG10(MAX(D329,0.000000000001)/$K$3)</f>
        <v>16.8426024097744</v>
      </c>
    </row>
    <row r="330" customFormat="false" ht="15" hidden="false" customHeight="false" outlineLevel="0" collapsed="false">
      <c r="A330" s="13" t="n">
        <f aca="false">A329+$F$3</f>
        <v>12960</v>
      </c>
      <c r="B330" s="20" t="n">
        <f aca="false">SUMPRODUCT(固有振動数!$Q$6:$Q$22*(1-($A330/固有振動数!$O$6:$O$22)^2)/((1-($A330/固有振動数!$O$6:$O$22)^2)^2+固有振動数!$P$6:$P$22^2))</f>
        <v>-5.87835648990602</v>
      </c>
      <c r="C330" s="20" t="n">
        <f aca="false">-SUMPRODUCT(固有振動数!$Q$6:$Q$22*固有振動数!$P$6:$P$22/((1-($A330/固有振動数!$O$6:$O$22)^2)^2+固有振動数!$P$6:$P$22^2))</f>
        <v>-0.0315313377320088</v>
      </c>
      <c r="D330" s="20" t="n">
        <f aca="false">SQRT(B330^2+C330^2)</f>
        <v>5.87844105589904</v>
      </c>
      <c r="E330" s="32" t="n">
        <f aca="false">20*LOG10(MAX(D330,0.000000000001)/$K$3)</f>
        <v>15.38524335626</v>
      </c>
    </row>
    <row r="331" customFormat="false" ht="15" hidden="false" customHeight="false" outlineLevel="0" collapsed="false">
      <c r="A331" s="13" t="n">
        <f aca="false">A330+$F$3</f>
        <v>13000</v>
      </c>
      <c r="B331" s="20" t="n">
        <f aca="false">SUMPRODUCT(固有振動数!$Q$6:$Q$22*(1-($A331/固有振動数!$O$6:$O$22)^2)/((1-($A331/固有振動数!$O$6:$O$22)^2)^2+固有振動数!$P$6:$P$22^2))</f>
        <v>-4.92511056016779</v>
      </c>
      <c r="C331" s="20" t="n">
        <f aca="false">-SUMPRODUCT(固有振動数!$Q$6:$Q$22*固有振動数!$P$6:$P$22/((1-($A331/固有振動数!$O$6:$O$22)^2)^2+固有振動数!$P$6:$P$22^2))</f>
        <v>-0.0282842403406392</v>
      </c>
      <c r="D331" s="20" t="n">
        <f aca="false">SQRT(B331^2+C331^2)</f>
        <v>4.92519177577157</v>
      </c>
      <c r="E331" s="32" t="n">
        <f aca="false">20*LOG10(MAX(D331,0.000000000001)/$K$3)</f>
        <v>13.8484629120547</v>
      </c>
    </row>
    <row r="332" customFormat="false" ht="15" hidden="false" customHeight="false" outlineLevel="0" collapsed="false">
      <c r="A332" s="13" t="n">
        <f aca="false">A331+$F$3</f>
        <v>13040</v>
      </c>
      <c r="B332" s="20" t="n">
        <f aca="false">SUMPRODUCT(固有振動数!$Q$6:$Q$22*(1-($A332/固有振動数!$O$6:$O$22)^2)/((1-($A332/固有振動数!$O$6:$O$22)^2)^2+固有振動数!$P$6:$P$22^2))</f>
        <v>-4.07092131759805</v>
      </c>
      <c r="C332" s="20" t="n">
        <f aca="false">-SUMPRODUCT(固有振動数!$Q$6:$Q$22*固有振動数!$P$6:$P$22/((1-($A332/固有振動数!$O$6:$O$22)^2)^2+固有振動数!$P$6:$P$22^2))</f>
        <v>-0.0256096452432864</v>
      </c>
      <c r="D332" s="20" t="n">
        <f aca="false">SQRT(B332^2+C332^2)</f>
        <v>4.07100187030216</v>
      </c>
      <c r="E332" s="32" t="n">
        <f aca="false">20*LOG10(MAX(D332,0.000000000001)/$K$3)</f>
        <v>12.1940260380656</v>
      </c>
    </row>
    <row r="333" customFormat="false" ht="15" hidden="false" customHeight="false" outlineLevel="0" collapsed="false">
      <c r="A333" s="13" t="n">
        <f aca="false">A332+$F$3</f>
        <v>13080</v>
      </c>
      <c r="B333" s="20" t="n">
        <f aca="false">SUMPRODUCT(固有振動数!$Q$6:$Q$22*(1-($A333/固有振動数!$O$6:$O$22)^2)/((1-($A333/固有振動数!$O$6:$O$22)^2)^2+固有振動数!$P$6:$P$22^2))</f>
        <v>-3.29915060567744</v>
      </c>
      <c r="C333" s="20" t="n">
        <f aca="false">-SUMPRODUCT(固有振動数!$Q$6:$Q$22*固有振動数!$P$6:$P$22/((1-($A333/固有振動数!$O$6:$O$22)^2)^2+固有振動数!$P$6:$P$22^2))</f>
        <v>-0.0233799839010219</v>
      </c>
      <c r="D333" s="20" t="n">
        <f aca="false">SQRT(B333^2+C333^2)</f>
        <v>3.29923344772525</v>
      </c>
      <c r="E333" s="32" t="n">
        <f aca="false">20*LOG10(MAX(D333,0.000000000001)/$K$3)</f>
        <v>10.3682609303182</v>
      </c>
    </row>
    <row r="334" customFormat="false" ht="15" hidden="false" customHeight="false" outlineLevel="0" collapsed="false">
      <c r="A334" s="13" t="n">
        <f aca="false">A333+$F$3</f>
        <v>13120</v>
      </c>
      <c r="B334" s="20" t="n">
        <f aca="false">SUMPRODUCT(固有振動数!$Q$6:$Q$22*(1-($A334/固有振動数!$O$6:$O$22)^2)/((1-($A334/固有振動数!$O$6:$O$22)^2)^2+固有振動数!$P$6:$P$22^2))</f>
        <v>-2.59674674461506</v>
      </c>
      <c r="C334" s="20" t="n">
        <f aca="false">-SUMPRODUCT(固有振動数!$Q$6:$Q$22*固有振動数!$P$6:$P$22/((1-($A334/固有振動数!$O$6:$O$22)^2)^2+固有振動数!$P$6:$P$22^2))</f>
        <v>-0.0215016889100371</v>
      </c>
      <c r="D334" s="20" t="n">
        <f aca="false">SQRT(B334^2+C334^2)</f>
        <v>2.59683576267251</v>
      </c>
      <c r="E334" s="32" t="n">
        <f aca="false">20*LOG10(MAX(D334,0.000000000001)/$K$3)</f>
        <v>8.28888966936264</v>
      </c>
    </row>
    <row r="335" customFormat="false" ht="15" hidden="false" customHeight="false" outlineLevel="0" collapsed="false">
      <c r="A335" s="13" t="n">
        <f aca="false">A334+$F$3</f>
        <v>13160</v>
      </c>
      <c r="B335" s="20" t="n">
        <f aca="false">SUMPRODUCT(固有振動数!$Q$6:$Q$22*(1-($A335/固有振動数!$O$6:$O$22)^2)/((1-($A335/固有振動数!$O$6:$O$22)^2)^2+固有振動数!$P$6:$P$22^2))</f>
        <v>-1.95331571123964</v>
      </c>
      <c r="C335" s="20" t="n">
        <f aca="false">-SUMPRODUCT(固有振動数!$Q$6:$Q$22*固有振動数!$P$6:$P$22/((1-($A335/固有振動数!$O$6:$O$22)^2)^2+固有振動数!$P$6:$P$22^2))</f>
        <v>-0.0199048381926319</v>
      </c>
      <c r="D335" s="20" t="n">
        <f aca="false">SQRT(B335^2+C335^2)</f>
        <v>1.95341712656542</v>
      </c>
      <c r="E335" s="32" t="n">
        <f aca="false">20*LOG10(MAX(D335,0.000000000001)/$K$3)</f>
        <v>5.8158998214409</v>
      </c>
    </row>
    <row r="336" customFormat="false" ht="15" hidden="false" customHeight="false" outlineLevel="0" collapsed="false">
      <c r="A336" s="13" t="n">
        <f aca="false">A335+$F$3</f>
        <v>13200</v>
      </c>
      <c r="B336" s="20" t="n">
        <f aca="false">SUMPRODUCT(固有振動数!$Q$6:$Q$22*(1-($A336/固有振動数!$O$6:$O$22)^2)/((1-($A336/固有振動数!$O$6:$O$22)^2)^2+固有振動数!$P$6:$P$22^2))</f>
        <v>-1.36046803702604</v>
      </c>
      <c r="C336" s="20" t="n">
        <f aca="false">-SUMPRODUCT(固有振動数!$Q$6:$Q$22*固有振動数!$P$6:$P$22/((1-($A336/固有振動数!$O$6:$O$22)^2)^2+固有振動数!$P$6:$P$22^2))</f>
        <v>-0.018536306957749</v>
      </c>
      <c r="D336" s="20" t="n">
        <f aca="false">SQRT(B336^2+C336^2)</f>
        <v>1.36059430928</v>
      </c>
      <c r="E336" s="32" t="n">
        <f aca="false">20*LOG10(MAX(D336,0.000000000001)/$K$3)</f>
        <v>2.67457300361454</v>
      </c>
    </row>
    <row r="337" customFormat="false" ht="15" hidden="false" customHeight="false" outlineLevel="0" collapsed="false">
      <c r="A337" s="13" t="n">
        <f aca="false">A336+$F$3</f>
        <v>13240</v>
      </c>
      <c r="B337" s="20" t="n">
        <f aca="false">SUMPRODUCT(固有振動数!$Q$6:$Q$22*(1-($A337/固有振動数!$O$6:$O$22)^2)/((1-($A337/固有振動数!$O$6:$O$22)^2)^2+固有振動数!$P$6:$P$22^2))</f>
        <v>-0.811350208749014</v>
      </c>
      <c r="C337" s="20" t="n">
        <f aca="false">-SUMPRODUCT(固有振動数!$Q$6:$Q$22*固有振動数!$P$6:$P$22/((1-($A337/固有振動数!$O$6:$O$22)^2)^2+固有振動数!$P$6:$P$22^2))</f>
        <v>-0.0173551313919179</v>
      </c>
      <c r="D337" s="20" t="n">
        <f aca="false">SQRT(B337^2+C337^2)</f>
        <v>0.811535804399719</v>
      </c>
      <c r="E337" s="32" t="n">
        <f aca="false">20*LOG10(MAX(D337,0.000000000001)/$K$3)</f>
        <v>-1.81384629284369</v>
      </c>
    </row>
    <row r="338" customFormat="false" ht="15" hidden="false" customHeight="false" outlineLevel="0" collapsed="false">
      <c r="A338" s="13" t="n">
        <f aca="false">A337+$F$3</f>
        <v>13280</v>
      </c>
      <c r="B338" s="20" t="n">
        <f aca="false">SUMPRODUCT(固有振動数!$Q$6:$Q$22*(1-($A338/固有振動数!$O$6:$O$22)^2)/((1-($A338/固有振動数!$O$6:$O$22)^2)^2+固有振動数!$P$6:$P$22^2))</f>
        <v>-0.300302326826933</v>
      </c>
      <c r="C338" s="20" t="n">
        <f aca="false">-SUMPRODUCT(固有振動数!$Q$6:$Q$22*固有振動数!$P$6:$P$22/((1-($A338/固有振動数!$O$6:$O$22)^2)^2+固有振動数!$P$6:$P$22^2))</f>
        <v>-0.0163293030944088</v>
      </c>
      <c r="D338" s="20" t="n">
        <f aca="false">SQRT(B338^2+C338^2)</f>
        <v>0.300745961963281</v>
      </c>
      <c r="E338" s="32" t="n">
        <f aca="false">20*LOG10(MAX(D338,0.000000000001)/$K$3)</f>
        <v>-10.436003902129</v>
      </c>
    </row>
    <row r="339" customFormat="false" ht="15" hidden="false" customHeight="false" outlineLevel="0" collapsed="false">
      <c r="A339" s="13" t="n">
        <f aca="false">A338+$F$3</f>
        <v>13320</v>
      </c>
      <c r="B339" s="20" t="n">
        <f aca="false">SUMPRODUCT(固有振動数!$Q$6:$Q$22*(1-($A339/固有振動数!$O$6:$O$22)^2)/((1-($A339/固有振動数!$O$6:$O$22)^2)^2+固有振動数!$P$6:$P$22^2))</f>
        <v>0.177396088673697</v>
      </c>
      <c r="C339" s="20" t="n">
        <f aca="false">-SUMPRODUCT(固有振動数!$Q$6:$Q$22*固有振動数!$P$6:$P$22/((1-($A339/固有振動数!$O$6:$O$22)^2)^2+固有振動数!$P$6:$P$22^2))</f>
        <v>-0.0154335105062255</v>
      </c>
      <c r="D339" s="20" t="n">
        <f aca="false">SQRT(B339^2+C339^2)</f>
        <v>0.178066182986192</v>
      </c>
      <c r="E339" s="32" t="n">
        <f aca="false">20*LOG10(MAX(D339,0.000000000001)/$K$3)</f>
        <v>-14.9883710141021</v>
      </c>
    </row>
    <row r="340" customFormat="false" ht="15" hidden="false" customHeight="false" outlineLevel="0" collapsed="false">
      <c r="A340" s="13" t="n">
        <f aca="false">A339+$F$3</f>
        <v>13360</v>
      </c>
      <c r="B340" s="20" t="n">
        <f aca="false">SUMPRODUCT(固有振動数!$Q$6:$Q$22*(1-($A340/固有振動数!$O$6:$O$22)^2)/((1-($A340/固有振動数!$O$6:$O$22)^2)^2+固有振動数!$P$6:$P$22^2))</f>
        <v>0.625717631395486</v>
      </c>
      <c r="C340" s="20" t="n">
        <f aca="false">-SUMPRODUCT(固有振動数!$Q$6:$Q$22*固有振動数!$P$6:$P$22/((1-($A340/固有振動数!$O$6:$O$22)^2)^2+固有振動数!$P$6:$P$22^2))</f>
        <v>-0.0146475202116286</v>
      </c>
      <c r="D340" s="20" t="n">
        <f aca="false">SQRT(B340^2+C340^2)</f>
        <v>0.625889050940762</v>
      </c>
      <c r="E340" s="32" t="n">
        <f aca="false">20*LOG10(MAX(D340,0.000000000001)/$K$3)</f>
        <v>-4.07005291517472</v>
      </c>
    </row>
    <row r="341" customFormat="false" ht="15" hidden="false" customHeight="false" outlineLevel="0" collapsed="false">
      <c r="A341" s="13" t="n">
        <f aca="false">A340+$F$3</f>
        <v>13400</v>
      </c>
      <c r="B341" s="20" t="n">
        <f aca="false">SUMPRODUCT(固有振動数!$Q$6:$Q$22*(1-($A341/固有振動数!$O$6:$O$22)^2)/((1-($A341/固有振動数!$O$6:$O$22)^2)^2+固有振動数!$P$6:$P$22^2))</f>
        <v>1.04803326615969</v>
      </c>
      <c r="C341" s="20" t="n">
        <f aca="false">-SUMPRODUCT(固有振動数!$Q$6:$Q$22*固有振動数!$P$6:$P$22/((1-($A341/固有振動数!$O$6:$O$22)^2)^2+固有振動数!$P$6:$P$22^2))</f>
        <v>-0.0139549987447546</v>
      </c>
      <c r="D341" s="20" t="n">
        <f aca="false">SQRT(B341^2+C341^2)</f>
        <v>1.0481261703475</v>
      </c>
      <c r="E341" s="32" t="n">
        <f aca="false">20*LOG10(MAX(D341,0.000000000001)/$K$3)</f>
        <v>0.408271297754379</v>
      </c>
    </row>
    <row r="342" customFormat="false" ht="15" hidden="false" customHeight="false" outlineLevel="0" collapsed="false">
      <c r="A342" s="13" t="n">
        <f aca="false">A341+$F$3</f>
        <v>13440</v>
      </c>
      <c r="B342" s="20" t="n">
        <f aca="false">SUMPRODUCT(固有振動数!$Q$6:$Q$22*(1-($A342/固有振動数!$O$6:$O$22)^2)/((1-($A342/固有振動数!$O$6:$O$22)^2)^2+固有振動数!$P$6:$P$22^2))</f>
        <v>1.44722538285845</v>
      </c>
      <c r="C342" s="20" t="n">
        <f aca="false">-SUMPRODUCT(固有振動数!$Q$6:$Q$22*固有振動数!$P$6:$P$22/((1-($A342/固有振動数!$O$6:$O$22)^2)^2+固有振動数!$P$6:$P$22^2))</f>
        <v>-0.0133426428479025</v>
      </c>
      <c r="D342" s="20" t="n">
        <f aca="false">SQRT(B342^2+C342^2)</f>
        <v>1.44728688756167</v>
      </c>
      <c r="E342" s="32" t="n">
        <f aca="false">20*LOG10(MAX(D342,0.000000000001)/$K$3)</f>
        <v>3.21109254823275</v>
      </c>
    </row>
    <row r="343" customFormat="false" ht="15" hidden="false" customHeight="false" outlineLevel="0" collapsed="false">
      <c r="A343" s="13" t="n">
        <f aca="false">A342+$F$3</f>
        <v>13480</v>
      </c>
      <c r="B343" s="20" t="n">
        <f aca="false">SUMPRODUCT(固有振動数!$Q$6:$Q$22*(1-($A343/固有振動数!$O$6:$O$22)^2)/((1-($A343/固有振動数!$O$6:$O$22)^2)^2+固有振動数!$P$6:$P$22^2))</f>
        <v>1.82577616788054</v>
      </c>
      <c r="C343" s="20" t="n">
        <f aca="false">-SUMPRODUCT(固有振動数!$Q$6:$Q$22*固有振動数!$P$6:$P$22/((1-($A343/固有振動数!$O$6:$O$22)^2)^2+固有振動数!$P$6:$P$22^2))</f>
        <v>-0.0127995290944105</v>
      </c>
      <c r="D343" s="20" t="n">
        <f aca="false">SQRT(B343^2+C343^2)</f>
        <v>1.82582103261672</v>
      </c>
      <c r="E343" s="32" t="n">
        <f aca="false">20*LOG10(MAX(D343,0.000000000001)/$K$3)</f>
        <v>5.22916411285756</v>
      </c>
    </row>
    <row r="344" customFormat="false" ht="15" hidden="false" customHeight="false" outlineLevel="0" collapsed="false">
      <c r="A344" s="13" t="n">
        <f aca="false">A343+$F$3</f>
        <v>13520</v>
      </c>
      <c r="B344" s="20" t="n">
        <f aca="false">SUMPRODUCT(固有振動数!$Q$6:$Q$22*(1-($A344/固有振動数!$O$6:$O$22)^2)/((1-($A344/固有振動数!$O$6:$O$22)^2)^2+固有振動数!$P$6:$P$22^2))</f>
        <v>2.18583739808417</v>
      </c>
      <c r="C344" s="20" t="n">
        <f aca="false">-SUMPRODUCT(固有振動数!$Q$6:$Q$22*固有振動数!$P$6:$P$22/((1-($A344/固有振動数!$O$6:$O$22)^2)^2+固有振動数!$P$6:$P$22^2))</f>
        <v>-0.012316621758189</v>
      </c>
      <c r="D344" s="20" t="n">
        <f aca="false">SQRT(B344^2+C344^2)</f>
        <v>2.18587209827906</v>
      </c>
      <c r="E344" s="32" t="n">
        <f aca="false">20*LOG10(MAX(D344,0.000000000001)/$K$3)</f>
        <v>6.79249493052889</v>
      </c>
    </row>
    <row r="345" customFormat="false" ht="15" hidden="false" customHeight="false" outlineLevel="0" collapsed="false">
      <c r="A345" s="13" t="n">
        <f aca="false">A344+$F$3</f>
        <v>13560</v>
      </c>
      <c r="B345" s="20" t="n">
        <f aca="false">SUMPRODUCT(固有振動数!$Q$6:$Q$22*(1-($A345/固有振動数!$O$6:$O$22)^2)/((1-($A345/固有振動数!$O$6:$O$22)^2)^2+固有振動数!$P$6:$P$22^2))</f>
        <v>2.52928609174397</v>
      </c>
      <c r="C345" s="20" t="n">
        <f aca="false">-SUMPRODUCT(固有振動数!$Q$6:$Q$22*固有振動数!$P$6:$P$22/((1-($A345/固有振動数!$O$6:$O$22)^2)^2+固有振動数!$P$6:$P$22^2))</f>
        <v>-0.0118863963490146</v>
      </c>
      <c r="D345" s="20" t="n">
        <f aca="false">SQRT(B345^2+C345^2)</f>
        <v>2.52931402168802</v>
      </c>
      <c r="E345" s="32" t="n">
        <f aca="false">20*LOG10(MAX(D345,0.000000000001)/$K$3)</f>
        <v>8.06005503228233</v>
      </c>
    </row>
    <row r="346" customFormat="false" ht="15" hidden="false" customHeight="false" outlineLevel="0" collapsed="false">
      <c r="A346" s="13" t="n">
        <f aca="false">A345+$F$3</f>
        <v>13600</v>
      </c>
      <c r="B346" s="20" t="n">
        <f aca="false">SUMPRODUCT(固有振動数!$Q$6:$Q$22*(1-($A346/固有振動数!$O$6:$O$22)^2)/((1-($A346/固有振動数!$O$6:$O$22)^2)^2+固有振動数!$P$6:$P$22^2))</f>
        <v>2.85776927849991</v>
      </c>
      <c r="C346" s="20" t="n">
        <f aca="false">-SUMPRODUCT(固有振動数!$Q$6:$Q$22*固有振動数!$P$6:$P$22/((1-($A346/固有振動数!$O$6:$O$22)^2)^2+固有振動数!$P$6:$P$22^2))</f>
        <v>-0.0115025487233025</v>
      </c>
      <c r="D346" s="20" t="n">
        <f aca="false">SQRT(B346^2+C346^2)</f>
        <v>2.85779242734056</v>
      </c>
      <c r="E346" s="32" t="n">
        <f aca="false">20*LOG10(MAX(D346,0.000000000001)/$K$3)</f>
        <v>9.12061362181842</v>
      </c>
    </row>
    <row r="347" customFormat="false" ht="15" hidden="false" customHeight="false" outlineLevel="0" collapsed="false">
      <c r="A347" s="13" t="n">
        <f aca="false">A346+$F$3</f>
        <v>13640</v>
      </c>
      <c r="B347" s="20" t="n">
        <f aca="false">SUMPRODUCT(固有振動数!$Q$6:$Q$22*(1-($A347/固有振動数!$O$6:$O$22)^2)/((1-($A347/固有振動数!$O$6:$O$22)^2)^2+固有振動数!$P$6:$P$22^2))</f>
        <v>3.17274031620718</v>
      </c>
      <c r="C347" s="20" t="n">
        <f aca="false">-SUMPRODUCT(固有振動数!$Q$6:$Q$22*固有振動数!$P$6:$P$22/((1-($A347/固有振動数!$O$6:$O$22)^2)^2+固有振動数!$P$6:$P$22^2))</f>
        <v>-0.0111597682259227</v>
      </c>
      <c r="D347" s="20" t="n">
        <f aca="false">SQRT(B347^2+C347^2)</f>
        <v>3.17275994278062</v>
      </c>
      <c r="E347" s="32" t="n">
        <f aca="false">20*LOG10(MAX(D347,0.000000000001)/$K$3)</f>
        <v>10.02874427548</v>
      </c>
    </row>
    <row r="348" customFormat="false" ht="15" hidden="false" customHeight="false" outlineLevel="0" collapsed="false">
      <c r="A348" s="13" t="n">
        <f aca="false">A347+$F$3</f>
        <v>13680</v>
      </c>
      <c r="B348" s="20" t="n">
        <f aca="false">SUMPRODUCT(固有振動数!$Q$6:$Q$22*(1-($A348/固有振動数!$O$6:$O$22)^2)/((1-($A348/固有振動数!$O$6:$O$22)^2)^2+固有振動数!$P$6:$P$22^2))</f>
        <v>3.47548858155078</v>
      </c>
      <c r="C348" s="20" t="n">
        <f aca="false">-SUMPRODUCT(固有振動数!$Q$6:$Q$22*固有振動数!$P$6:$P$22/((1-($A348/固有振動数!$O$6:$O$22)^2)^2+固有振動数!$P$6:$P$22^2))</f>
        <v>-0.010853559248766</v>
      </c>
      <c r="D348" s="20" t="n">
        <f aca="false">SQRT(B348^2+C348^2)</f>
        <v>3.47550552873079</v>
      </c>
      <c r="E348" s="32" t="n">
        <f aca="false">20*LOG10(MAX(D348,0.000000000001)/$K$3)</f>
        <v>10.8203596741789</v>
      </c>
    </row>
    <row r="349" customFormat="false" ht="15" hidden="false" customHeight="false" outlineLevel="0" collapsed="false">
      <c r="A349" s="13" t="n">
        <f aca="false">A348+$F$3</f>
        <v>13720</v>
      </c>
      <c r="B349" s="20" t="n">
        <f aca="false">SUMPRODUCT(固有振動数!$Q$6:$Q$22*(1-($A349/固有振動数!$O$6:$O$22)^2)/((1-($A349/固有振動数!$O$6:$O$22)^2)^2+固有振動数!$P$6:$P$22^2))</f>
        <v>3.76716392308668</v>
      </c>
      <c r="C349" s="20" t="n">
        <f aca="false">-SUMPRODUCT(固有振動数!$Q$6:$Q$22*固有振動数!$P$6:$P$22/((1-($A349/固有振動数!$O$6:$O$22)^2)^2+固有振動数!$P$6:$P$22^2))</f>
        <v>-0.0105800997611861</v>
      </c>
      <c r="D349" s="20" t="n">
        <f aca="false">SQRT(B349^2+C349^2)</f>
        <v>3.76717878019039</v>
      </c>
      <c r="E349" s="32" t="n">
        <f aca="false">20*LOG10(MAX(D349,0.000000000001)/$K$3)</f>
        <v>11.5203246228483</v>
      </c>
    </row>
    <row r="350" customFormat="false" ht="15" hidden="false" customHeight="false" outlineLevel="0" collapsed="false">
      <c r="A350" s="13" t="n">
        <f aca="false">A349+$F$3</f>
        <v>13760</v>
      </c>
      <c r="B350" s="20" t="n">
        <f aca="false">SUMPRODUCT(固有振動数!$Q$6:$Q$22*(1-($A350/固有振動数!$O$6:$O$22)^2)/((1-($A350/固有振動数!$O$6:$O$22)^2)^2+固有振動数!$P$6:$P$22^2))</f>
        <v>4.04879694237195</v>
      </c>
      <c r="C350" s="20" t="n">
        <f aca="false">-SUMPRODUCT(固有振動数!$Q$6:$Q$22*固有振動数!$P$6:$P$22/((1-($A350/固有振動数!$O$6:$O$22)^2)^2+固有振動数!$P$6:$P$22^2))</f>
        <v>-0.0103361283350263</v>
      </c>
      <c r="D350" s="20" t="n">
        <f aca="false">SQRT(B350^2+C350^2)</f>
        <v>4.04881013584354</v>
      </c>
      <c r="E350" s="32" t="n">
        <f aca="false">20*LOG10(MAX(D350,0.000000000001)/$K$3)</f>
        <v>12.14654823041</v>
      </c>
    </row>
    <row r="351" customFormat="false" ht="15" hidden="false" customHeight="false" outlineLevel="0" collapsed="false">
      <c r="A351" s="13" t="n">
        <f aca="false">A350+$F$3</f>
        <v>13800</v>
      </c>
      <c r="B351" s="20" t="n">
        <f aca="false">SUMPRODUCT(固有振動数!$Q$6:$Q$22*(1-($A351/固有振動数!$O$6:$O$22)^2)/((1-($A351/固有振動数!$O$6:$O$22)^2)^2+固有振動数!$P$6:$P$22^2))</f>
        <v>4.321315928327</v>
      </c>
      <c r="C351" s="20" t="n">
        <f aca="false">-SUMPRODUCT(固有振動数!$Q$6:$Q$22*固有振動数!$P$6:$P$22/((1-($A351/固有振動数!$O$6:$O$22)^2)^2+固有振動数!$P$6:$P$22^2))</f>
        <v>-0.0101188533234025</v>
      </c>
      <c r="D351" s="20" t="n">
        <f aca="false">SQRT(B351^2+C351^2)</f>
        <v>4.32132777553441</v>
      </c>
      <c r="E351" s="32" t="n">
        <f aca="false">20*LOG10(MAX(D351,0.000000000001)/$K$3)</f>
        <v>12.7123441816148</v>
      </c>
    </row>
    <row r="352" customFormat="false" ht="15" hidden="false" customHeight="false" outlineLevel="0" collapsed="false">
      <c r="A352" s="13" t="n">
        <f aca="false">A351+$F$3</f>
        <v>13840</v>
      </c>
      <c r="B352" s="20" t="n">
        <f aca="false">SUMPRODUCT(固有振動数!$Q$6:$Q$22*(1-($A352/固有振動数!$O$6:$O$22)^2)/((1-($A352/固有振動数!$O$6:$O$22)^2)^2+固有振動数!$P$6:$P$22^2))</f>
        <v>4.58556108916186</v>
      </c>
      <c r="C352" s="20" t="n">
        <f aca="false">-SUMPRODUCT(固有振動数!$Q$6:$Q$22*固有振動数!$P$6:$P$22/((1-($A352/固有振動数!$O$6:$O$22)^2)^2+固有振動数!$P$6:$P$22^2))</f>
        <v>-0.00992587940713309</v>
      </c>
      <c r="D352" s="20" t="n">
        <f aca="false">SQRT(B352^2+C352^2)</f>
        <v>4.58557183190028</v>
      </c>
      <c r="E352" s="32" t="n">
        <f aca="false">20*LOG10(MAX(D352,0.000000000001)/$K$3)</f>
        <v>13.2278700191119</v>
      </c>
    </row>
    <row r="353" customFormat="false" ht="15" hidden="false" customHeight="false" outlineLevel="0" collapsed="false">
      <c r="A353" s="13" t="n">
        <f aca="false">A352+$F$3</f>
        <v>13880</v>
      </c>
      <c r="B353" s="20" t="n">
        <f aca="false">SUMPRODUCT(固有振動数!$Q$6:$Q$22*(1-($A353/固有振動数!$O$6:$O$22)^2)/((1-($A353/固有振動数!$O$6:$O$22)^2)^2+固有振動数!$P$6:$P$22^2))</f>
        <v>4.84229658906603</v>
      </c>
      <c r="C353" s="20" t="n">
        <f aca="false">-SUMPRODUCT(固有振動数!$Q$6:$Q$22*固有振動数!$P$6:$P$22/((1-($A353/固有振動数!$O$6:$O$22)^2)^2+固有振動数!$P$6:$P$22^2))</f>
        <v>-0.00975514786556799</v>
      </c>
      <c r="D353" s="20" t="n">
        <f aca="false">SQRT(B353^2+C353^2)</f>
        <v>4.84230641527262</v>
      </c>
      <c r="E353" s="32" t="n">
        <f aca="false">20*LOG10(MAX(D353,0.000000000001)/$K$3)</f>
        <v>13.7010453520589</v>
      </c>
    </row>
    <row r="354" customFormat="false" ht="15" hidden="false" customHeight="false" outlineLevel="0" collapsed="false">
      <c r="A354" s="13" t="n">
        <f aca="false">A353+$F$3</f>
        <v>13920</v>
      </c>
      <c r="B354" s="20" t="n">
        <f aca="false">SUMPRODUCT(固有振動数!$Q$6:$Q$22*(1-($A354/固有振動数!$O$6:$O$22)^2)/((1-($A354/固有振動数!$O$6:$O$22)^2)^2+固有振動数!$P$6:$P$22^2))</f>
        <v>5.09222079199421</v>
      </c>
      <c r="C354" s="20" t="n">
        <f aca="false">-SUMPRODUCT(固有振動数!$Q$6:$Q$22*固有振動数!$P$6:$P$22/((1-($A354/固有振動数!$O$6:$O$22)^2)^2+固有振動数!$P$6:$P$22^2))</f>
        <v>-0.00960488777675845</v>
      </c>
      <c r="D354" s="20" t="n">
        <f aca="false">SQRT(B354^2+C354^2)</f>
        <v>5.09222985030009</v>
      </c>
      <c r="E354" s="32" t="n">
        <f aca="false">20*LOG10(MAX(D354,0.000000000001)/$K$3)</f>
        <v>14.138159967441</v>
      </c>
    </row>
    <row r="355" customFormat="false" ht="15" hidden="false" customHeight="false" outlineLevel="0" collapsed="false">
      <c r="A355" s="13" t="n">
        <f aca="false">A354+$F$3</f>
        <v>13960</v>
      </c>
      <c r="B355" s="20" t="n">
        <f aca="false">SUMPRODUCT(固有振動数!$Q$6:$Q$22*(1-($A355/固有振動数!$O$6:$O$22)^2)/((1-($A355/固有振動数!$O$6:$O$22)^2)^2+固有振動数!$P$6:$P$22^2))</f>
        <v>5.33597503407169</v>
      </c>
      <c r="C355" s="20" t="n">
        <f aca="false">-SUMPRODUCT(固有振動数!$Q$6:$Q$22*固有振動数!$P$6:$P$22/((1-($A355/固有振動数!$O$6:$O$22)^2)^2+固有振動数!$P$6:$P$22^2))</f>
        <v>-0.00947357598714606</v>
      </c>
      <c r="D355" s="20" t="n">
        <f aca="false">SQRT(B355^2+C355^2)</f>
        <v>5.33598344383473</v>
      </c>
      <c r="E355" s="32" t="n">
        <f aca="false">20*LOG10(MAX(D355,0.000000000001)/$K$3)</f>
        <v>14.544289468161</v>
      </c>
    </row>
    <row r="356" customFormat="false" ht="15" hidden="false" customHeight="false" outlineLevel="0" collapsed="false">
      <c r="A356" s="13" t="n">
        <f aca="false">A355+$F$3</f>
        <v>14000</v>
      </c>
      <c r="B356" s="20" t="n">
        <f aca="false">SUMPRODUCT(固有振動数!$Q$6:$Q$22*(1-($A356/固有振動数!$O$6:$O$22)^2)/((1-($A356/固有振動数!$O$6:$O$22)^2)^2+固有振動数!$P$6:$P$22^2))</f>
        <v>5.57415118343183</v>
      </c>
      <c r="C356" s="20" t="n">
        <f aca="false">-SUMPRODUCT(固有振動数!$Q$6:$Q$22*固有振動数!$P$6:$P$22/((1-($A356/固有振動数!$O$6:$O$22)^2)^2+固有振動数!$P$6:$P$22^2))</f>
        <v>-0.00935990417087401</v>
      </c>
      <c r="D356" s="20" t="n">
        <f aca="false">SQRT(B356^2+C356^2)</f>
        <v>5.5741590418251</v>
      </c>
      <c r="E356" s="32" t="n">
        <f aca="false">20*LOG10(MAX(D356,0.000000000001)/$K$3)</f>
        <v>14.9235871167587</v>
      </c>
    </row>
    <row r="357" customFormat="false" ht="15" hidden="false" customHeight="false" outlineLevel="0" collapsed="false">
      <c r="A357" s="13" t="n">
        <f aca="false">A356+$F$3</f>
        <v>14040</v>
      </c>
      <c r="B357" s="20" t="n">
        <f aca="false">SUMPRODUCT(固有振動数!$Q$6:$Q$22*(1-($A357/固有振動数!$O$6:$O$22)^2)/((1-($A357/固有振動数!$O$6:$O$22)^2)^2+固有振動数!$P$6:$P$22^2))</f>
        <v>5.80729819731576</v>
      </c>
      <c r="C357" s="20" t="n">
        <f aca="false">-SUMPRODUCT(固有振動数!$Q$6:$Q$22*固有振動数!$P$6:$P$22/((1-($A357/固有振動数!$O$6:$O$22)^2)^2+固有振動数!$P$6:$P$22^2))</f>
        <v>-0.00926275166448144</v>
      </c>
      <c r="D357" s="20" t="n">
        <f aca="false">SQRT(B357^2+C357^2)</f>
        <v>5.80730558444407</v>
      </c>
      <c r="E357" s="32" t="n">
        <f aca="false">20*LOG10(MAX(D357,0.000000000001)/$K$3)</f>
        <v>15.279493590224</v>
      </c>
    </row>
    <row r="358" customFormat="false" ht="15" hidden="false" customHeight="false" outlineLevel="0" collapsed="false">
      <c r="A358" s="13" t="n">
        <f aca="false">A357+$F$3</f>
        <v>14080</v>
      </c>
      <c r="B358" s="20" t="n">
        <f aca="false">SUMPRODUCT(固有振動数!$Q$6:$Q$22*(1-($A358/固有振動数!$O$6:$O$22)^2)/((1-($A358/固有振動数!$O$6:$O$22)^2)^2+固有振動数!$P$6:$P$22^2))</f>
        <v>6.03592784778348</v>
      </c>
      <c r="C358" s="20" t="n">
        <f aca="false">-SUMPRODUCT(固有振動数!$Q$6:$Q$22*固有振動数!$P$6:$P$22/((1-($A358/固有振動数!$O$6:$O$22)^2)^2+固有振動数!$P$6:$P$22^2))</f>
        <v>-0.00918116304366544</v>
      </c>
      <c r="D358" s="20" t="n">
        <f aca="false">SQRT(B358^2+C358^2)</f>
        <v>6.03593483044697</v>
      </c>
      <c r="E358" s="32" t="n">
        <f aca="false">20*LOG10(MAX(D358,0.000000000001)/$K$3)</f>
        <v>15.6148908416534</v>
      </c>
    </row>
    <row r="359" customFormat="false" ht="15" hidden="false" customHeight="false" outlineLevel="0" collapsed="false">
      <c r="A359" s="13" t="n">
        <f aca="false">A358+$F$3</f>
        <v>14120</v>
      </c>
      <c r="B359" s="20" t="n">
        <f aca="false">SUMPRODUCT(固有振動数!$Q$6:$Q$22*(1-($A359/固有振動数!$O$6:$O$22)^2)/((1-($A359/固有振動数!$O$6:$O$22)^2)^2+固有振動数!$P$6:$P$22^2))</f>
        <v>6.26051975700091</v>
      </c>
      <c r="C359" s="20" t="n">
        <f aca="false">-SUMPRODUCT(固有振動数!$Q$6:$Q$22*固有振動数!$P$6:$P$22/((1-($A359/固有振動数!$O$6:$O$22)^2)^2+固有振動数!$P$6:$P$22^2))</f>
        <v>-0.00911432962642147</v>
      </c>
      <c r="D359" s="20" t="n">
        <f aca="false">SQRT(B359^2+C359^2)</f>
        <v>6.2605263915108</v>
      </c>
      <c r="E359" s="32" t="n">
        <f aca="false">20*LOG10(MAX(D359,0.000000000001)/$K$3)</f>
        <v>15.9322170134653</v>
      </c>
    </row>
    <row r="360" customFormat="false" ht="15" hidden="false" customHeight="false" outlineLevel="0" collapsed="false">
      <c r="A360" s="13" t="n">
        <f aca="false">A359+$F$3</f>
        <v>14160</v>
      </c>
      <c r="B360" s="20" t="n">
        <f aca="false">SUMPRODUCT(固有振動数!$Q$6:$Q$22*(1-($A360/固有振動数!$O$6:$O$22)^2)/((1-($A360/固有振動数!$O$6:$O$22)^2)^2+固有振動数!$P$6:$P$22^2))</f>
        <v>6.48152585897592</v>
      </c>
      <c r="C360" s="20" t="n">
        <f aca="false">-SUMPRODUCT(固有振動数!$Q$6:$Q$22*固有振動数!$P$6:$P$22/((1-($A360/固有振動数!$O$6:$O$22)^2)^2+固有振動数!$P$6:$P$22^2))</f>
        <v>-0.00906157425691475</v>
      </c>
      <c r="D360" s="20" t="n">
        <f aca="false">SQRT(B360^2+C360^2)</f>
        <v>6.48153219329362</v>
      </c>
      <c r="E360" s="32" t="n">
        <f aca="false">20*LOG10(MAX(D360,0.000000000001)/$K$3)</f>
        <v>16.2335536496203</v>
      </c>
    </row>
    <row r="361" customFormat="false" ht="15" hidden="false" customHeight="false" outlineLevel="0" collapsed="false">
      <c r="A361" s="13" t="n">
        <f aca="false">A360+$F$3</f>
        <v>14200</v>
      </c>
      <c r="B361" s="20" t="n">
        <f aca="false">SUMPRODUCT(固有振動数!$Q$6:$Q$22*(1-($A361/固有振動数!$O$6:$O$22)^2)/((1-($A361/固有振動数!$O$6:$O$22)^2)^2+固有振動数!$P$6:$P$22^2))</f>
        <v>6.69937438545584</v>
      </c>
      <c r="C361" s="20" t="n">
        <f aca="false">-SUMPRODUCT(固有振動数!$Q$6:$Q$22*固有振動数!$P$6:$P$22/((1-($A361/固有振動数!$O$6:$O$22)^2)^2+固有振動数!$P$6:$P$22^2))</f>
        <v>-0.00902233885850534</v>
      </c>
      <c r="D361" s="20" t="n">
        <f aca="false">SQRT(B361^2+C361^2)</f>
        <v>6.69938046084116</v>
      </c>
      <c r="E361" s="32" t="n">
        <f aca="false">20*LOG10(MAX(D361,0.000000000001)/$K$3)</f>
        <v>16.5206928454235</v>
      </c>
    </row>
    <row r="362" customFormat="false" ht="15" hidden="false" customHeight="false" outlineLevel="0" collapsed="false">
      <c r="A362" s="13" t="n">
        <f aca="false">A361+$F$3</f>
        <v>14240</v>
      </c>
      <c r="B362" s="20" t="n">
        <f aca="false">SUMPRODUCT(固有振動数!$Q$6:$Q$22*(1-($A362/固有振動数!$O$6:$O$22)^2)/((1-($A362/固有振動数!$O$6:$O$22)^2)^2+固有振動数!$P$6:$P$22^2))</f>
        <v>6.91447345843599</v>
      </c>
      <c r="C362" s="20" t="n">
        <f aca="false">-SUMPRODUCT(固有振動数!$Q$6:$Q$22*固有振動数!$P$6:$P$22/((1-($A362/固有振動数!$O$6:$O$22)^2)^2+固有振動数!$P$6:$P$22^2))</f>
        <v>-0.00899617435111998</v>
      </c>
      <c r="D362" s="20" t="n">
        <f aca="false">SQRT(B362^2+C362^2)</f>
        <v>6.91447931073401</v>
      </c>
      <c r="E362" s="32" t="n">
        <f aca="false">20*LOG10(MAX(D362,0.000000000001)/$K$3)</f>
        <v>16.7951896296466</v>
      </c>
    </row>
    <row r="363" customFormat="false" ht="15" hidden="false" customHeight="false" outlineLevel="0" collapsed="false">
      <c r="A363" s="13" t="n">
        <f aca="false">A362+$F$3</f>
        <v>14280</v>
      </c>
      <c r="B363" s="20" t="n">
        <f aca="false">SUMPRODUCT(固有振動数!$Q$6:$Q$22*(1-($A363/固有振動数!$O$6:$O$22)^2)/((1-($A363/固有振動数!$O$6:$O$22)^2)^2+固有振動数!$P$6:$P$22^2))</f>
        <v>7.1272143595759</v>
      </c>
      <c r="C363" s="20" t="n">
        <f aca="false">-SUMPRODUCT(固有振動数!$Q$6:$Q$22*固有振動数!$P$6:$P$22/((1-($A363/固有振動数!$O$6:$O$22)^2)^2+固有振動数!$P$6:$P$22^2))</f>
        <v>-0.00898273261416561</v>
      </c>
      <c r="D363" s="20" t="n">
        <f aca="false">SQRT(B363^2+C363^2)</f>
        <v>7.12722002023441</v>
      </c>
      <c r="E363" s="32" t="n">
        <f aca="false">20*LOG10(MAX(D363,0.000000000001)/$K$3)</f>
        <v>17.0584033170891</v>
      </c>
    </row>
    <row r="364" customFormat="false" ht="15" hidden="false" customHeight="false" outlineLevel="0" collapsed="false">
      <c r="A364" s="13" t="n">
        <f aca="false">A363+$F$3</f>
        <v>14320</v>
      </c>
      <c r="B364" s="20" t="n">
        <f aca="false">SUMPRODUCT(固有振動数!$Q$6:$Q$22*(1-($A364/固有振動数!$O$6:$O$22)^2)/((1-($A364/固有振動数!$O$6:$O$22)^2)^2+固有振動数!$P$6:$P$22^2))</f>
        <v>7.33797453717356</v>
      </c>
      <c r="C364" s="20" t="n">
        <f aca="false">-SUMPRODUCT(固有振動数!$Q$6:$Q$22*固有振動数!$P$6:$P$22/((1-($A364/固有振動数!$O$6:$O$22)^2)^2+固有振動数!$P$6:$P$22^2))</f>
        <v>-0.00898176024639252</v>
      </c>
      <c r="D364" s="20" t="n">
        <f aca="false">SQRT(B364^2+C364^2)</f>
        <v>7.33798003405738</v>
      </c>
      <c r="E364" s="32" t="n">
        <f aca="false">20*LOG10(MAX(D364,0.000000000001)/$K$3)</f>
        <v>17.3115305149549</v>
      </c>
    </row>
    <row r="365" customFormat="false" ht="15" hidden="false" customHeight="false" outlineLevel="0" collapsed="false">
      <c r="A365" s="13" t="n">
        <f aca="false">A364+$F$3</f>
        <v>14360</v>
      </c>
      <c r="B365" s="20" t="n">
        <f aca="false">SUMPRODUCT(固有振動数!$Q$6:$Q$22*(1-($A365/固有振動数!$O$6:$O$22)^2)/((1-($A365/固有振動数!$O$6:$O$22)^2)^2+固有振動数!$P$6:$P$22^2))</f>
        <v>7.54712040374995</v>
      </c>
      <c r="C365" s="20" t="n">
        <f aca="false">-SUMPRODUCT(固有振動数!$Q$6:$Q$22*固有振動数!$P$6:$P$22/((1-($A365/固有振動数!$O$6:$O$22)^2)^2+固有振動数!$P$6:$P$22^2))</f>
        <v>-0.00899309393238039</v>
      </c>
      <c r="D365" s="20" t="n">
        <f aca="false">SQRT(B365^2+C365^2)</f>
        <v>7.5471257618008</v>
      </c>
      <c r="E365" s="32" t="n">
        <f aca="false">20*LOG10(MAX(D365,0.000000000001)/$K$3)</f>
        <v>17.5556317386674</v>
      </c>
    </row>
    <row r="366" customFormat="false" ht="15" hidden="false" customHeight="false" outlineLevel="0" collapsed="false">
      <c r="A366" s="13" t="n">
        <f aca="false">A365+$F$3</f>
        <v>14400</v>
      </c>
      <c r="B366" s="20" t="n">
        <f aca="false">SUMPRODUCT(固有振動数!$Q$6:$Q$22*(1-($A366/固有振動数!$O$6:$O$22)^2)/((1-($A366/固有振動数!$O$6:$O$22)^2)^2+固有振動数!$P$6:$P$22^2))</f>
        <v>7.75500997139418</v>
      </c>
      <c r="C366" s="20" t="n">
        <f aca="false">-SUMPRODUCT(固有振動数!$Q$6:$Q$22*固有振動数!$P$6:$P$22/((1-($A366/固有振動数!$O$6:$O$22)^2)^2+固有振動数!$P$6:$P$22^2))</f>
        <v>-0.00901665727465112</v>
      </c>
      <c r="D366" s="20" t="n">
        <f aca="false">SQRT(B366^2+C366^2)</f>
        <v>7.75501521317215</v>
      </c>
      <c r="E366" s="32" t="n">
        <f aca="false">20*LOG10(MAX(D366,0.000000000001)/$K$3)</f>
        <v>17.7916530822968</v>
      </c>
    </row>
    <row r="367" customFormat="false" ht="15" hidden="false" customHeight="false" outlineLevel="0" collapsed="false">
      <c r="A367" s="13" t="n">
        <f aca="false">A366+$F$3</f>
        <v>14440</v>
      </c>
      <c r="B367" s="20" t="n">
        <f aca="false">SUMPRODUCT(固有振動数!$Q$6:$Q$22*(1-($A367/固有振動数!$O$6:$O$22)^2)/((1-($A367/固有振動数!$O$6:$O$22)^2)^2+固有振動数!$P$6:$P$22^2))</f>
        <v>7.96199536755043</v>
      </c>
      <c r="C367" s="20" t="n">
        <f aca="false">-SUMPRODUCT(固有振動数!$Q$6:$Q$22*固有振動数!$P$6:$P$22/((1-($A367/固有振動数!$O$6:$O$22)^2)^2+固有振動数!$P$6:$P$22^2))</f>
        <v>-0.00905245899321912</v>
      </c>
      <c r="D367" s="20" t="n">
        <f aca="false">SQRT(B367^2+C367^2)</f>
        <v>7.96200051368425</v>
      </c>
      <c r="E367" s="32" t="n">
        <f aca="false">20*LOG10(MAX(D367,0.000000000001)/$K$3)</f>
        <v>18.020444025349</v>
      </c>
    </row>
    <row r="368" customFormat="false" ht="15" hidden="false" customHeight="false" outlineLevel="0" collapsed="false">
      <c r="A368" s="13" t="n">
        <f aca="false">A367+$F$3</f>
        <v>14480</v>
      </c>
      <c r="B368" s="20" t="n">
        <f aca="false">SUMPRODUCT(固有振動数!$Q$6:$Q$22*(1-($A368/固有振動数!$O$6:$O$22)^2)/((1-($A368/固有振動数!$O$6:$O$22)^2)^2+固有振動数!$P$6:$P$22^2))</f>
        <v>8.16842527069608</v>
      </c>
      <c r="C368" s="20" t="n">
        <f aca="false">-SUMPRODUCT(固有振動数!$Q$6:$Q$22*固有振動数!$P$6:$P$22/((1-($A368/固有振動数!$O$6:$O$22)^2)^2+固有振動数!$P$6:$P$22^2))</f>
        <v>-0.00910059243265342</v>
      </c>
      <c r="D368" s="20" t="n">
        <f aca="false">SQRT(B368^2+C368^2)</f>
        <v>8.16843034026299</v>
      </c>
      <c r="E368" s="32" t="n">
        <f aca="false">20*LOG10(MAX(D368,0.000000000001)/$K$3)</f>
        <v>18.2427721953831</v>
      </c>
    </row>
    <row r="369" customFormat="false" ht="15" hidden="false" customHeight="false" outlineLevel="0" collapsed="false">
      <c r="A369" s="13" t="n">
        <f aca="false">A368+$F$3</f>
        <v>14520</v>
      </c>
      <c r="B369" s="20" t="n">
        <f aca="false">SUMPRODUCT(固有振動数!$Q$6:$Q$22*(1-($A369/固有振動数!$O$6:$O$22)^2)/((1-($A369/固有振動数!$O$6:$O$22)^2)^2+固有振動数!$P$6:$P$22^2))</f>
        <v>8.37464730322715</v>
      </c>
      <c r="C369" s="20" t="n">
        <f aca="false">-SUMPRODUCT(固有振動数!$Q$6:$Q$22*固有振動数!$P$6:$P$22/((1-($A369/固有振動数!$O$6:$O$22)^2)^2+固有振動数!$P$6:$P$22^2))</f>
        <v>-0.00916123635213266</v>
      </c>
      <c r="D369" s="20" t="n">
        <f aca="false">SQRT(B369^2+C369^2)</f>
        <v>8.37465231407855</v>
      </c>
      <c r="E369" s="32" t="n">
        <f aca="false">20*LOG10(MAX(D369,0.000000000001)/$K$3)</f>
        <v>18.4593357142695</v>
      </c>
    </row>
    <row r="370" customFormat="false" ht="15" hidden="false" customHeight="false" outlineLevel="0" collapsed="false">
      <c r="A370" s="13" t="n">
        <f aca="false">A369+$F$3</f>
        <v>14560</v>
      </c>
      <c r="B370" s="20" t="n">
        <f aca="false">SUMPRODUCT(固有振動数!$Q$6:$Q$22*(1-($A370/固有振動数!$O$6:$O$22)^2)/((1-($A370/固有振動数!$O$6:$O$22)^2)^2+固有振動数!$P$6:$P$22^2))</f>
        <v>8.5810104177416</v>
      </c>
      <c r="C370" s="20" t="n">
        <f aca="false">-SUMPRODUCT(固有振動数!$Q$6:$Q$22*固有振動数!$P$6:$P$22/((1-($A370/固有振動数!$O$6:$O$22)^2)^2+固有振動数!$P$6:$P$22^2))</f>
        <v>-0.00923465700802134</v>
      </c>
      <c r="D370" s="20" t="n">
        <f aca="false">SQRT(B370^2+C370^2)</f>
        <v>8.58101538678728</v>
      </c>
      <c r="E370" s="32" t="n">
        <f aca="false">20*LOG10(MAX(D370,0.000000000001)/$K$3)</f>
        <v>18.6707736142874</v>
      </c>
    </row>
    <row r="371" customFormat="false" ht="15" hidden="false" customHeight="false" outlineLevel="0" collapsed="false">
      <c r="A371" s="13" t="n">
        <f aca="false">A370+$F$3</f>
        <v>14600</v>
      </c>
      <c r="B371" s="20" t="n">
        <f aca="false">SUMPRODUCT(固有振動数!$Q$6:$Q$22*(1-($A371/固有振動数!$O$6:$O$22)^2)/((1-($A371/固有振動数!$O$6:$O$22)^2)^2+固有振動数!$P$6:$P$22^2))</f>
        <v>8.78786731274591</v>
      </c>
      <c r="C371" s="20" t="n">
        <f aca="false">-SUMPRODUCT(固有振動数!$Q$6:$Q$22*固有振動数!$P$6:$P$22/((1-($A371/固有振動数!$O$6:$O$22)^2)^2+固有振動数!$P$6:$P$22^2))</f>
        <v>-0.00932121157258566</v>
      </c>
      <c r="D371" s="20" t="n">
        <f aca="false">SQRT(B371^2+C371^2)</f>
        <v>8.78787225620703</v>
      </c>
      <c r="E371" s="32" t="n">
        <f aca="false">20*LOG10(MAX(D371,0.000000000001)/$K$3)</f>
        <v>18.8776747045516</v>
      </c>
    </row>
    <row r="372" customFormat="false" ht="15" hidden="false" customHeight="false" outlineLevel="0" collapsed="false">
      <c r="A372" s="13" t="n">
        <f aca="false">A371+$F$3</f>
        <v>14640</v>
      </c>
      <c r="B372" s="20" t="n">
        <f aca="false">SUMPRODUCT(固有振動数!$Q$6:$Q$22*(1-($A372/固有振動数!$O$6:$O$22)^2)/((1-($A372/固有振動数!$O$6:$O$22)^2)^2+固有振動数!$P$6:$P$22^2))</f>
        <v>8.99557691459525</v>
      </c>
      <c r="C372" s="20" t="n">
        <f aca="false">-SUMPRODUCT(固有振動数!$Q$6:$Q$22*固有振動数!$P$6:$P$22/((1-($A372/固有振動数!$O$6:$O$22)^2)^2+固有振動数!$P$6:$P$22^2))</f>
        <v>-0.00942135296798901</v>
      </c>
      <c r="D372" s="20" t="n">
        <f aca="false">SQRT(B372^2+C372^2)</f>
        <v>8.99558184823476</v>
      </c>
      <c r="E372" s="32" t="n">
        <f aca="false">20*LOG10(MAX(D372,0.000000000001)/$K$3)</f>
        <v>19.0805851886624</v>
      </c>
    </row>
    <row r="373" customFormat="false" ht="15" hidden="false" customHeight="false" outlineLevel="0" collapsed="false">
      <c r="A373" s="13" t="n">
        <f aca="false">A372+$F$3</f>
        <v>14680</v>
      </c>
      <c r="B373" s="20" t="n">
        <f aca="false">SUMPRODUCT(固有振動数!$Q$6:$Q$22*(1-($A373/固有振動数!$O$6:$O$22)^2)/((1-($A373/固有振動数!$O$6:$O$22)^2)^2+固有振動数!$P$6:$P$22^2))</f>
        <v>9.2045069642444</v>
      </c>
      <c r="C373" s="20" t="n">
        <f aca="false">-SUMPRODUCT(固有振動数!$Q$6:$Q$22*固有振動数!$P$6:$P$22/((1-($A373/固有振動数!$O$6:$O$22)^2)^2+固有振動数!$P$6:$P$22^2))</f>
        <v>-0.00953563623311779</v>
      </c>
      <c r="D373" s="20" t="n">
        <f aca="false">SQRT(B373^2+C373^2)</f>
        <v>9.20451190358196</v>
      </c>
      <c r="E373" s="32" t="n">
        <f aca="false">20*LOG10(MAX(D373,0.000000000001)/$K$3)</f>
        <v>19.2800152740712</v>
      </c>
    </row>
    <row r="374" customFormat="false" ht="15" hidden="false" customHeight="false" outlineLevel="0" collapsed="false">
      <c r="A374" s="13" t="n">
        <f aca="false">A373+$F$3</f>
        <v>14720</v>
      </c>
      <c r="B374" s="20" t="n">
        <f aca="false">SUMPRODUCT(固有振動数!$Q$6:$Q$22*(1-($A374/固有振動数!$O$6:$O$22)^2)/((1-($A374/固有振動数!$O$6:$O$22)^2)^2+固有振動数!$P$6:$P$22^2))</f>
        <v>9.41503675020436</v>
      </c>
      <c r="C374" s="20" t="n">
        <f aca="false">-SUMPRODUCT(固有振動数!$Q$6:$Q$22*固有振動数!$P$6:$P$22/((1-($A374/固有振動数!$O$6:$O$22)^2)^2+固有振動数!$P$6:$P$22^2))</f>
        <v>-0.00966472658369798</v>
      </c>
      <c r="D374" s="20" t="n">
        <f aca="false">SQRT(B374^2+C374^2)</f>
        <v>9.41504171072219</v>
      </c>
      <c r="E374" s="32" t="n">
        <f aca="false">20*LOG10(MAX(D374,0.000000000001)/$K$3)</f>
        <v>19.4764449675558</v>
      </c>
    </row>
    <row r="375" customFormat="false" ht="15" hidden="false" customHeight="false" outlineLevel="0" collapsed="false">
      <c r="A375" s="13" t="n">
        <f aca="false">A374+$F$3</f>
        <v>14760</v>
      </c>
      <c r="B375" s="20" t="n">
        <f aca="false">SUMPRODUCT(固有振動数!$Q$6:$Q$22*(1-($A375/固有振動数!$O$6:$O$22)^2)/((1-($A375/固有振動数!$O$6:$O$22)^2)^2+固有振動数!$P$6:$P$22^2))</f>
        <v>9.62756003308416</v>
      </c>
      <c r="C375" s="20" t="n">
        <f aca="false">-SUMPRODUCT(固有振動数!$Q$6:$Q$22*固有振動数!$P$6:$P$22/((1-($A375/固有振動数!$O$6:$O$22)^2)^2+固有振動数!$P$6:$P$22^2))</f>
        <v>-0.00980940937543231</v>
      </c>
      <c r="D375" s="20" t="n">
        <f aca="false">SQRT(B375^2+C375^2)</f>
        <v>9.62756503042964</v>
      </c>
      <c r="E375" s="32" t="n">
        <f aca="false">20*LOG10(MAX(D375,0.000000000001)/$K$3)</f>
        <v>19.6703292158748</v>
      </c>
    </row>
    <row r="376" customFormat="false" ht="15" hidden="false" customHeight="false" outlineLevel="0" collapsed="false">
      <c r="A376" s="13" t="n">
        <f aca="false">A375+$F$3</f>
        <v>14800</v>
      </c>
      <c r="B376" s="20" t="n">
        <f aca="false">SUMPRODUCT(固有振動数!$Q$6:$Q$22*(1-($A376/固有振動数!$O$6:$O$22)^2)/((1-($A376/固有振動数!$O$6:$O$22)^2)^2+固有振動数!$P$6:$P$22^2))</f>
        <v>9.84248821241473</v>
      </c>
      <c r="C376" s="20" t="n">
        <f aca="false">-SUMPRODUCT(固有振動数!$Q$6:$Q$22*固有振動数!$P$6:$P$22/((1-($A376/固有振動数!$O$6:$O$22)^2)^2+固有振動数!$P$6:$P$22^2))</f>
        <v>-0.00997060223774374</v>
      </c>
      <c r="D376" s="20" t="n">
        <f aca="false">SQRT(B376^2+C376^2)</f>
        <v>9.84249326260535</v>
      </c>
      <c r="E376" s="32" t="n">
        <f aca="false">20*LOG10(MAX(D376,0.000000000001)/$K$3)</f>
        <v>19.8621025235724</v>
      </c>
    </row>
    <row r="377" customFormat="false" ht="15" hidden="false" customHeight="false" outlineLevel="0" collapsed="false">
      <c r="A377" s="13" t="n">
        <f aca="false">A376+$F$3</f>
        <v>14840</v>
      </c>
      <c r="B377" s="20" t="n">
        <f aca="false">SUMPRODUCT(固有振動数!$Q$6:$Q$22*(1-($A377/固有振動数!$O$6:$O$22)^2)/((1-($A377/固有振動数!$O$6:$O$22)^2)^2+固有振動数!$P$6:$P$22^2))</f>
        <v>10.0602537933285</v>
      </c>
      <c r="C377" s="20" t="n">
        <f aca="false">-SUMPRODUCT(固有振動数!$Q$6:$Q$22*固有振動数!$P$6:$P$22/((1-($A377/固有振動数!$O$6:$O$22)^2)^2+固有振動数!$P$6:$P$22^2))</f>
        <v>-0.0101493697148891</v>
      </c>
      <c r="D377" s="20" t="n">
        <f aca="false">SQRT(B377^2+C377^2)</f>
        <v>10.0602589129648</v>
      </c>
      <c r="E377" s="32" t="n">
        <f aca="false">20*LOG10(MAX(D377,0.000000000001)/$K$3)</f>
        <v>20.0521831591793</v>
      </c>
    </row>
    <row r="378" customFormat="false" ht="15" hidden="false" customHeight="false" outlineLevel="0" collapsed="false">
      <c r="A378" s="13" t="n">
        <f aca="false">A377+$F$3</f>
        <v>14880</v>
      </c>
      <c r="B378" s="20" t="n">
        <f aca="false">SUMPRODUCT(固有振動数!$Q$6:$Q$22*(1-($A378/固有振動数!$O$6:$O$22)^2)/((1-($A378/固有振動数!$O$6:$O$22)^2)^2+固有振動数!$P$6:$P$22^2))</f>
        <v>10.2813142194077</v>
      </c>
      <c r="C378" s="20" t="n">
        <f aca="false">-SUMPRODUCT(固有振動数!$Q$6:$Q$22*固有振動数!$P$6:$P$22/((1-($A378/固有振動数!$O$6:$O$22)^2)^2+固有振動数!$P$6:$P$22^2))</f>
        <v>-0.010346940835142</v>
      </c>
      <c r="D378" s="20" t="n">
        <f aca="false">SQRT(B378^2+C378^2)</f>
        <v>10.2813194258996</v>
      </c>
      <c r="E378" s="32" t="n">
        <f aca="false">20*LOG10(MAX(D378,0.000000000001)/$K$3)</f>
        <v>20.2409770453591</v>
      </c>
    </row>
    <row r="379" customFormat="false" ht="15" hidden="false" customHeight="false" outlineLevel="0" collapsed="false">
      <c r="A379" s="13" t="n">
        <f aca="false">A378+$F$3</f>
        <v>14920</v>
      </c>
      <c r="B379" s="20" t="n">
        <f aca="false">SUMPRODUCT(固有振動数!$Q$6:$Q$22*(1-($A379/固有振動数!$O$6:$O$22)^2)/((1-($A379/固有振動数!$O$6:$O$22)^2)^2+固有振動数!$P$6:$P$22^2))</f>
        <v>10.5061561490106</v>
      </c>
      <c r="C379" s="20" t="n">
        <f aca="false">-SUMPRODUCT(固有振動数!$Q$6:$Q$22*固有振動数!$P$6:$P$22/((1-($A379/固有振動数!$O$6:$O$22)^2)^2+固有振動数!$P$6:$P$22^2))</f>
        <v>-0.0105647301318081</v>
      </c>
      <c r="D379" s="20" t="n">
        <f aca="false">SQRT(B379^2+C379^2)</f>
        <v>10.5061614608246</v>
      </c>
      <c r="E379" s="32" t="n">
        <f aca="false">20*LOG10(MAX(D379,0.000000000001)/$K$3)</f>
        <v>20.4288814168848</v>
      </c>
    </row>
    <row r="380" customFormat="false" ht="15" hidden="false" customHeight="false" outlineLevel="0" collapsed="false">
      <c r="A380" s="13" t="n">
        <f aca="false">A379+$F$3</f>
        <v>14960</v>
      </c>
      <c r="B380" s="20" t="n">
        <f aca="false">SUMPRODUCT(固有振動数!$Q$6:$Q$22*(1-($A380/固有振動数!$O$6:$O$22)^2)/((1-($A380/固有振動数!$O$6:$O$22)^2)^2+固有振動数!$P$6:$P$22^2))</f>
        <v>10.7353002661597</v>
      </c>
      <c r="C380" s="20" t="n">
        <f aca="false">-SUMPRODUCT(固有振動数!$Q$6:$Q$22*固有振動数!$P$6:$P$22/((1-($A380/固有振動数!$O$6:$O$22)^2)^2+固有振動数!$P$6:$P$22^2))</f>
        <v>-0.0108043627676815</v>
      </c>
      <c r="D380" s="20" t="n">
        <f aca="false">SQRT(B380^2+C380^2)</f>
        <v>10.7353057030931</v>
      </c>
      <c r="E380" s="32" t="n">
        <f aca="false">20*LOG10(MAX(D380,0.000000000001)/$K$3)</f>
        <v>20.616288322024</v>
      </c>
    </row>
    <row r="381" customFormat="false" ht="15" hidden="false" customHeight="false" outlineLevel="0" collapsed="false">
      <c r="A381" s="13" t="n">
        <f aca="false">A380+$F$3</f>
        <v>15000</v>
      </c>
      <c r="B381" s="20" t="n">
        <f aca="false">SUMPRODUCT(固有振動数!$Q$6:$Q$22*(1-($A381/固有振動数!$O$6:$O$22)^2)/((1-($A381/固有振動数!$O$6:$O$22)^2)^2+固有振動数!$P$6:$P$22^2))</f>
        <v>10.9693067342919</v>
      </c>
      <c r="C381" s="20" t="n">
        <f aca="false">-SUMPRODUCT(固有振動数!$Q$6:$Q$22*固有振動数!$P$6:$P$22/((1-($A381/固有振動数!$O$6:$O$22)^2)^2+固有振動数!$P$6:$P$22^2))</f>
        <v>-0.0110677045745234</v>
      </c>
      <c r="D381" s="20" t="n">
        <f aca="false">SQRT(B381^2+C381^2)</f>
        <v>10.9693123177831</v>
      </c>
      <c r="E381" s="32" t="n">
        <f aca="false">20*LOG10(MAX(D381,0.000000000001)/$K$3)</f>
        <v>20.8035880374495</v>
      </c>
    </row>
    <row r="382" customFormat="false" ht="15" hidden="false" customHeight="false" outlineLevel="0" collapsed="false">
      <c r="A382" s="13" t="n">
        <f aca="false">A381+$F$3</f>
        <v>15040</v>
      </c>
      <c r="B382" s="20" t="n">
        <f aca="false">SUMPRODUCT(固有振動数!$Q$6:$Q$22*(1-($A382/固有振動数!$O$6:$O$22)^2)/((1-($A382/固有振動数!$O$6:$O$22)^2)^2+固有振動数!$P$6:$P$22^2))</f>
        <v>11.2087814227164</v>
      </c>
      <c r="C382" s="20" t="n">
        <f aca="false">-SUMPRODUCT(固有振動数!$Q$6:$Q$22*固有振動数!$P$6:$P$22/((1-($A382/固有振動数!$O$6:$O$22)^2)^2+固有振動数!$P$6:$P$22^2))</f>
        <v>-0.0113568980209443</v>
      </c>
      <c r="D382" s="20" t="n">
        <f aca="false">SQRT(B382^2+C382^2)</f>
        <v>11.2087871762009</v>
      </c>
      <c r="E382" s="32" t="n">
        <f aca="false">20*LOG10(MAX(D382,0.000000000001)/$K$3)</f>
        <v>20.9911724638907</v>
      </c>
    </row>
    <row r="383" customFormat="false" ht="15" hidden="false" customHeight="false" outlineLevel="0" collapsed="false">
      <c r="A383" s="13" t="n">
        <f aca="false">A382+$F$3</f>
        <v>15080</v>
      </c>
      <c r="B383" s="20" t="n">
        <f aca="false">SUMPRODUCT(固有振動数!$Q$6:$Q$22*(1-($A383/固有振動数!$O$6:$O$22)^2)/((1-($A383/固有振動数!$O$6:$O$22)^2)^2+固有振動数!$P$6:$P$22^2))</f>
        <v>11.4543830626313</v>
      </c>
      <c r="C383" s="20" t="n">
        <f aca="false">-SUMPRODUCT(固有振動数!$Q$6:$Q$22*固有振動数!$P$6:$P$22/((1-($A383/固有振動数!$O$6:$O$22)^2)^2+固有振動数!$P$6:$P$22^2))</f>
        <v>-0.0116744053785226</v>
      </c>
      <c r="D383" s="20" t="n">
        <f aca="false">SQRT(B383^2+C383^2)</f>
        <v>11.4543890119568</v>
      </c>
      <c r="E383" s="32" t="n">
        <f aca="false">20*LOG10(MAX(D383,0.000000000001)/$K$3)</f>
        <v>21.1794385692206</v>
      </c>
    </row>
    <row r="384" customFormat="false" ht="15" hidden="false" customHeight="false" outlineLevel="0" collapsed="false">
      <c r="A384" s="13" t="n">
        <f aca="false">A383+$F$3</f>
        <v>15120</v>
      </c>
      <c r="B384" s="20" t="n">
        <f aca="false">SUMPRODUCT(固有振動数!$Q$6:$Q$22*(1-($A384/固有振動数!$O$6:$O$22)^2)/((1-($A384/固有振動数!$O$6:$O$22)^2)^2+固有振動数!$P$6:$P$22^2))</f>
        <v>11.7068315235286</v>
      </c>
      <c r="C384" s="20" t="n">
        <f aca="false">-SUMPRODUCT(固有振動数!$Q$6:$Q$22*固有振動数!$P$6:$P$22/((1-($A384/固有振動数!$O$6:$O$22)^2)^2+固有振動数!$P$6:$P$22^2))</f>
        <v>-0.012023060684294</v>
      </c>
      <c r="D384" s="20" t="n">
        <f aca="false">SQRT(B384^2+C384^2)</f>
        <v>11.706837697443</v>
      </c>
      <c r="E384" s="32" t="n">
        <f aca="false">20*LOG10(MAX(D384,0.000000000001)/$K$3)</f>
        <v>21.3687919475201</v>
      </c>
    </row>
    <row r="385" customFormat="false" ht="15" hidden="false" customHeight="false" outlineLevel="0" collapsed="false">
      <c r="A385" s="13" t="n">
        <f aca="false">A384+$F$3</f>
        <v>15160</v>
      </c>
      <c r="B385" s="20" t="n">
        <f aca="false">SUMPRODUCT(固有振動数!$Q$6:$Q$22*(1-($A385/固有振動数!$O$6:$O$22)^2)/((1-($A385/固有振動数!$O$6:$O$22)^2)^2+固有振動数!$P$6:$P$22^2))</f>
        <v>11.9669174437398</v>
      </c>
      <c r="C385" s="20" t="n">
        <f aca="false">-SUMPRODUCT(固有振動数!$Q$6:$Q$22*固有振動数!$P$6:$P$22/((1-($A385/固有振動数!$O$6:$O$22)^2)^2+固有振動数!$P$6:$P$22^2))</f>
        <v>-0.0124061325210462</v>
      </c>
      <c r="D385" s="20" t="n">
        <f aca="false">SQRT(B385^2+C385^2)</f>
        <v>11.966923874472</v>
      </c>
      <c r="E385" s="32" t="n">
        <f aca="false">20*LOG10(MAX(D385,0.000000000001)/$K$3)</f>
        <v>21.5596505669727</v>
      </c>
    </row>
    <row r="386" customFormat="false" ht="15" hidden="false" customHeight="false" outlineLevel="0" collapsed="false">
      <c r="A386" s="13" t="n">
        <f aca="false">A385+$F$3</f>
        <v>15200</v>
      </c>
      <c r="B386" s="20" t="n">
        <f aca="false">SUMPRODUCT(固有振動数!$Q$6:$Q$22*(1-($A386/固有振動数!$O$6:$O$22)^2)/((1-($A386/固有振動数!$O$6:$O$22)^2)^2+固有振動数!$P$6:$P$22^2))</f>
        <v>12.2355135033776</v>
      </c>
      <c r="C386" s="20" t="n">
        <f aca="false">-SUMPRODUCT(固有振動数!$Q$6:$Q$22*固有振動数!$P$6:$P$22/((1-($A386/固有振動数!$O$6:$O$22)^2)^2+固有振動数!$P$6:$P$22^2))</f>
        <v>-0.0128274001866539</v>
      </c>
      <c r="D386" s="20" t="n">
        <f aca="false">SQRT(B386^2+C386^2)</f>
        <v>12.2355202273353</v>
      </c>
      <c r="E386" s="32" t="n">
        <f aca="false">20*LOG10(MAX(D386,0.000000000001)/$K$3)</f>
        <v>21.7524487864785</v>
      </c>
    </row>
    <row r="387" customFormat="false" ht="15" hidden="false" customHeight="false" outlineLevel="0" collapsed="false">
      <c r="A387" s="13" t="n">
        <f aca="false">A386+$F$3</f>
        <v>15240</v>
      </c>
      <c r="B387" s="20" t="n">
        <f aca="false">SUMPRODUCT(固有振動数!$Q$6:$Q$22*(1-($A387/固有振動数!$O$6:$O$22)^2)/((1-($A387/固有振動数!$O$6:$O$22)^2)^2+固有振動数!$P$6:$P$22^2))</f>
        <v>12.513587697532</v>
      </c>
      <c r="C387" s="20" t="n">
        <f aca="false">-SUMPRODUCT(固有振動数!$Q$6:$Q$22*固有振動数!$P$6:$P$22/((1-($A387/固有振動数!$O$6:$O$22)^2)^2+固有振動数!$P$6:$P$22^2))</f>
        <v>-0.0132912465431513</v>
      </c>
      <c r="D387" s="20" t="n">
        <f aca="false">SQRT(B387^2+C387^2)</f>
        <v>12.5135947561466</v>
      </c>
      <c r="E387" s="32" t="n">
        <f aca="false">20*LOG10(MAX(D387,0.000000000001)/$K$3)</f>
        <v>21.9476417310351</v>
      </c>
    </row>
    <row r="388" customFormat="false" ht="15" hidden="false" customHeight="false" outlineLevel="0" collapsed="false">
      <c r="A388" s="13" t="n">
        <f aca="false">A387+$F$3</f>
        <v>15280</v>
      </c>
      <c r="B388" s="20" t="n">
        <f aca="false">SUMPRODUCT(固有振動数!$Q$6:$Q$22*(1-($A388/固有振動数!$O$6:$O$22)^2)/((1-($A388/固有振動数!$O$6:$O$22)^2)^2+固有振動数!$P$6:$P$22^2))</f>
        <v>12.8022190570107</v>
      </c>
      <c r="C388" s="20" t="n">
        <f aca="false">-SUMPRODUCT(固有振動数!$Q$6:$Q$22*固有振動数!$P$6:$P$22/((1-($A388/固有振動数!$O$6:$O$22)^2)^2+固有振動数!$P$6:$P$22^2))</f>
        <v>-0.0138027717850722</v>
      </c>
      <c r="D388" s="20" t="n">
        <f aca="false">SQRT(B388^2+C388^2)</f>
        <v>12.8022264977697</v>
      </c>
      <c r="E388" s="32" t="n">
        <f aca="false">20*LOG10(MAX(D388,0.000000000001)/$K$3)</f>
        <v>22.1457101298425</v>
      </c>
    </row>
    <row r="389" customFormat="false" ht="15" hidden="false" customHeight="false" outlineLevel="0" collapsed="false">
      <c r="A389" s="13" t="n">
        <f aca="false">A388+$F$3</f>
        <v>15320</v>
      </c>
      <c r="B389" s="20" t="n">
        <f aca="false">SUMPRODUCT(固有振動数!$Q$6:$Q$22*(1-($A389/固有振動数!$O$6:$O$22)^2)/((1-($A389/固有振動数!$O$6:$O$22)^2)^2+固有振動数!$P$6:$P$22^2))</f>
        <v>13.1026163796263</v>
      </c>
      <c r="C389" s="20" t="n">
        <f aca="false">-SUMPRODUCT(固有振動数!$Q$6:$Q$22*固有振動数!$P$6:$P$22/((1-($A389/固有振動数!$O$6:$O$22)^2)^2+固有振動数!$P$6:$P$22^2))</f>
        <v>-0.0143679336281341</v>
      </c>
      <c r="D389" s="20" t="n">
        <f aca="false">SQRT(B389^2+C389^2)</f>
        <v>13.1026242573451</v>
      </c>
      <c r="E389" s="32" t="n">
        <f aca="false">20*LOG10(MAX(D389,0.000000000001)/$K$3)</f>
        <v>22.3471657395948</v>
      </c>
    </row>
    <row r="390" customFormat="false" ht="15" hidden="false" customHeight="false" outlineLevel="0" collapsed="false">
      <c r="A390" s="13" t="n">
        <f aca="false">A389+$F$3</f>
        <v>15360</v>
      </c>
      <c r="B390" s="20" t="n">
        <f aca="false">SUMPRODUCT(固有振動数!$Q$6:$Q$22*(1-($A390/固有振動数!$O$6:$O$22)^2)/((1-($A390/固有振動数!$O$6:$O$22)^2)^2+固有振動数!$P$6:$P$22^2))</f>
        <v>13.416140685835</v>
      </c>
      <c r="C390" s="20" t="n">
        <f aca="false">-SUMPRODUCT(固有振動数!$Q$6:$Q$22*固有振動数!$P$6:$P$22/((1-($A390/固有振動数!$O$6:$O$22)^2)^2+固有振動数!$P$6:$P$22^2))</f>
        <v>-0.014993721111062</v>
      </c>
      <c r="D390" s="20" t="n">
        <f aca="false">SQRT(B390^2+C390^2)</f>
        <v>13.4161490642356</v>
      </c>
      <c r="E390" s="32" t="n">
        <f aca="false">20*LOG10(MAX(D390,0.000000000001)/$K$3)</f>
        <v>22.5525574997354</v>
      </c>
    </row>
    <row r="391" customFormat="false" ht="15" hidden="false" customHeight="false" outlineLevel="0" collapsed="false">
      <c r="A391" s="13" t="n">
        <f aca="false">A390+$F$3</f>
        <v>15400</v>
      </c>
      <c r="B391" s="20" t="n">
        <f aca="false">SUMPRODUCT(固有振動数!$Q$6:$Q$22*(1-($A391/固有振動数!$O$6:$O$22)^2)/((1-($A391/固有振動数!$O$6:$O$22)^2)^2+固有振動数!$P$6:$P$22^2))</f>
        <v>13.7443323106252</v>
      </c>
      <c r="C391" s="20" t="n">
        <f aca="false">-SUMPRODUCT(固有振動数!$Q$6:$Q$22*固有振動数!$P$6:$P$22/((1-($A391/固有振動数!$O$6:$O$22)^2)^2+固有振動数!$P$6:$P$22^2))</f>
        <v>-0.0156883714925085</v>
      </c>
      <c r="D391" s="20" t="n">
        <f aca="false">SQRT(B391^2+C391^2)</f>
        <v>13.7443412643129</v>
      </c>
      <c r="E391" s="32" t="n">
        <f aca="false">20*LOG10(MAX(D391,0.000000000001)/$K$3)</f>
        <v>22.7624785982067</v>
      </c>
    </row>
    <row r="392" customFormat="false" ht="15" hidden="false" customHeight="false" outlineLevel="0" collapsed="false">
      <c r="A392" s="13" t="n">
        <f aca="false">A391+$F$3</f>
        <v>15440</v>
      </c>
      <c r="B392" s="20" t="n">
        <f aca="false">SUMPRODUCT(固有振動数!$Q$6:$Q$22*(1-($A392/固有振動数!$O$6:$O$22)^2)/((1-($A392/固有振動数!$O$6:$O$22)^2)^2+固有振動数!$P$6:$P$22^2))</f>
        <v>14.0889438059771</v>
      </c>
      <c r="C392" s="20" t="n">
        <f aca="false">-SUMPRODUCT(固有振動数!$Q$6:$Q$22*固有振動数!$P$6:$P$22/((1-($A392/固有振動数!$O$6:$O$22)^2)^2+固有振動数!$P$6:$P$22^2))</f>
        <v>-0.0164616428524229</v>
      </c>
      <c r="D392" s="20" t="n">
        <f aca="false">SQRT(B392^2+C392^2)</f>
        <v>14.0889534229362</v>
      </c>
      <c r="E392" s="32" t="n">
        <f aca="false">20*LOG10(MAX(D392,0.000000000001)/$K$3)</f>
        <v>22.9775746676874</v>
      </c>
    </row>
    <row r="393" customFormat="false" ht="15" hidden="false" customHeight="false" outlineLevel="0" collapsed="false">
      <c r="A393" s="13" t="n">
        <f aca="false">A392+$F$3</f>
        <v>15480</v>
      </c>
      <c r="B393" s="20" t="n">
        <f aca="false">SUMPRODUCT(固有振動数!$Q$6:$Q$22*(1-($A393/固有振動数!$O$6:$O$22)^2)/((1-($A393/固有振動数!$O$6:$O$22)^2)^2+固有振動数!$P$6:$P$22^2))</f>
        <v>14.4519801790035</v>
      </c>
      <c r="C393" s="20" t="n">
        <f aca="false">-SUMPRODUCT(固有振動数!$Q$6:$Q$22*固有振動数!$P$6:$P$22/((1-($A393/固有振動数!$O$6:$O$22)^2)^2+固有振動数!$P$6:$P$22^2))</f>
        <v>-0.0173251593235137</v>
      </c>
      <c r="D393" s="20" t="n">
        <f aca="false">SQRT(B393^2+C393^2)</f>
        <v>14.4519905637755</v>
      </c>
      <c r="E393" s="32" t="n">
        <f aca="false">20*LOG10(MAX(D393,0.000000000001)/$K$3)</f>
        <v>23.1985533865917</v>
      </c>
    </row>
    <row r="394" customFormat="false" ht="15" hidden="false" customHeight="false" outlineLevel="0" collapsed="false">
      <c r="A394" s="13" t="n">
        <f aca="false">A393+$F$3</f>
        <v>15520</v>
      </c>
      <c r="B394" s="20" t="n">
        <f aca="false">SUMPRODUCT(固有振動数!$Q$6:$Q$22*(1-($A394/固有振動数!$O$6:$O$22)^2)/((1-($A394/固有振動数!$O$6:$O$22)^2)^2+固有振動数!$P$6:$P$22^2))</f>
        <v>14.8357484643606</v>
      </c>
      <c r="C394" s="20" t="n">
        <f aca="false">-SUMPRODUCT(固有振動数!$Q$6:$Q$22*固有振動数!$P$6:$P$22/((1-($A394/固有振動数!$O$6:$O$22)^2)^2+固有振動数!$P$6:$P$22^2))</f>
        <v>-0.0182928519006399</v>
      </c>
      <c r="D394" s="20" t="n">
        <f aca="false">SQRT(B394^2+C394^2)</f>
        <v>14.8357597421302</v>
      </c>
      <c r="E394" s="32" t="n">
        <f aca="false">20*LOG10(MAX(D394,0.000000000001)/$K$3)</f>
        <v>23.4261958305378</v>
      </c>
    </row>
    <row r="395" customFormat="false" ht="15" hidden="false" customHeight="false" outlineLevel="0" collapsed="false">
      <c r="A395" s="13" t="n">
        <f aca="false">A394+$F$3</f>
        <v>15560</v>
      </c>
      <c r="B395" s="20" t="n">
        <f aca="false">SUMPRODUCT(固有振動数!$Q$6:$Q$22*(1-($A395/固有振動数!$O$6:$O$22)^2)/((1-($A395/固有振動数!$O$6:$O$22)^2)^2+固有振動数!$P$6:$P$22^2))</f>
        <v>15.2429192752589</v>
      </c>
      <c r="C395" s="20" t="n">
        <f aca="false">-SUMPRODUCT(固有振動数!$Q$6:$Q$22*固有振動数!$P$6:$P$22/((1-($A395/固有振動数!$O$6:$O$22)^2)^2+固有振動数!$P$6:$P$22^2))</f>
        <v>-0.0193815262763954</v>
      </c>
      <c r="D395" s="20" t="n">
        <f aca="false">SQRT(B395^2+C395^2)</f>
        <v>15.2429315971575</v>
      </c>
      <c r="E395" s="32" t="n">
        <f aca="false">20*LOG10(MAX(D395,0.000000000001)/$K$3)</f>
        <v>23.6613700146503</v>
      </c>
    </row>
    <row r="396" customFormat="false" ht="15" hidden="false" customHeight="false" outlineLevel="0" collapsed="false">
      <c r="A396" s="13" t="n">
        <f aca="false">A395+$F$3</f>
        <v>15600</v>
      </c>
      <c r="B396" s="20" t="n">
        <f aca="false">SUMPRODUCT(固有振動数!$Q$6:$Q$22*(1-($A396/固有振動数!$O$6:$O$22)^2)/((1-($A396/固有振動数!$O$6:$O$22)^2)^2+固有振動数!$P$6:$P$22^2))</f>
        <v>15.6766038679407</v>
      </c>
      <c r="C396" s="20" t="n">
        <f aca="false">-SUMPRODUCT(固有振動数!$Q$6:$Q$22*固有振動数!$P$6:$P$22/((1-($A396/固有振動数!$O$6:$O$22)^2)^2+固有振動数!$P$6:$P$22^2))</f>
        <v>-0.0206116012999798</v>
      </c>
      <c r="D396" s="20" t="n">
        <f aca="false">SQRT(B396^2+C396^2)</f>
        <v>15.6766174180032</v>
      </c>
      <c r="E396" s="32" t="n">
        <f aca="false">20*LOG10(MAX(D396,0.000000000001)/$K$3)</f>
        <v>23.9050471935332</v>
      </c>
    </row>
    <row r="397" customFormat="false" ht="15" hidden="false" customHeight="false" outlineLevel="0" collapsed="false">
      <c r="A397" s="13" t="n">
        <f aca="false">A396+$F$3</f>
        <v>15640</v>
      </c>
      <c r="B397" s="20" t="n">
        <f aca="false">SUMPRODUCT(固有振動数!$Q$6:$Q$22*(1-($A397/固有振動数!$O$6:$O$22)^2)/((1-($A397/固有振動数!$O$6:$O$22)^2)^2+固有振動数!$P$6:$P$22^2))</f>
        <v>16.1404514974612</v>
      </c>
      <c r="C397" s="20" t="n">
        <f aca="false">-SUMPRODUCT(固有振動数!$Q$6:$Q$22*固有振動数!$P$6:$P$22/((1-($A397/固有振動数!$O$6:$O$22)^2)^2+固有振動数!$P$6:$P$22^2))</f>
        <v>-0.0220080792535797</v>
      </c>
      <c r="D397" s="20" t="n">
        <f aca="false">SQRT(B397^2+C397^2)</f>
        <v>16.1404665018534</v>
      </c>
      <c r="E397" s="32" t="n">
        <f aca="false">20*LOG10(MAX(D397,0.000000000001)/$K$3)</f>
        <v>24.1583216563615</v>
      </c>
    </row>
    <row r="398" customFormat="false" ht="15" hidden="false" customHeight="false" outlineLevel="0" collapsed="false">
      <c r="A398" s="13" t="n">
        <f aca="false">A397+$F$3</f>
        <v>15680</v>
      </c>
      <c r="B398" s="20" t="n">
        <f aca="false">SUMPRODUCT(固有振動数!$Q$6:$Q$22*(1-($A398/固有振動数!$O$6:$O$22)^2)/((1-($A398/固有振動数!$O$6:$O$22)^2)^2+固有振動数!$P$6:$P$22^2))</f>
        <v>16.6387736000665</v>
      </c>
      <c r="C398" s="20" t="n">
        <f aca="false">-SUMPRODUCT(固有振動数!$Q$6:$Q$22*固有振動数!$P$6:$P$22/((1-($A398/固有振動数!$O$6:$O$22)^2)^2+固有振動数!$P$6:$P$22^2))</f>
        <v>-0.023601834999976</v>
      </c>
      <c r="D398" s="20" t="n">
        <f aca="false">SQRT(B398^2+C398^2)</f>
        <v>16.6387903394713</v>
      </c>
      <c r="E398" s="32" t="n">
        <f aca="false">20*LOG10(MAX(D398,0.000000000001)/$K$3)</f>
        <v>24.4224349871844</v>
      </c>
    </row>
    <row r="399" customFormat="false" ht="15" hidden="false" customHeight="false" outlineLevel="0" collapsed="false">
      <c r="A399" s="13" t="n">
        <f aca="false">A398+$F$3</f>
        <v>15720</v>
      </c>
      <c r="B399" s="20" t="n">
        <f aca="false">SUMPRODUCT(固有振動数!$Q$6:$Q$22*(1-($A399/固有振動数!$O$6:$O$22)^2)/((1-($A399/固有振動数!$O$6:$O$22)^2)^2+固有振動数!$P$6:$P$22^2))</f>
        <v>17.1767038574188</v>
      </c>
      <c r="C399" s="20" t="n">
        <f aca="false">-SUMPRODUCT(固有振動数!$Q$6:$Q$22*固有振動数!$P$6:$P$22/((1-($A399/固有振動数!$O$6:$O$22)^2)^2+固有振動数!$P$6:$P$22^2))</f>
        <v>-0.0254313496545899</v>
      </c>
      <c r="D399" s="20" t="n">
        <f aca="false">SQRT(B399^2+C399^2)</f>
        <v>17.1767226838828</v>
      </c>
      <c r="E399" s="32" t="n">
        <f aca="false">20*LOG10(MAX(D399,0.000000000001)/$K$3)</f>
        <v>24.6988060815445</v>
      </c>
    </row>
    <row r="400" customFormat="false" ht="15" hidden="false" customHeight="false" outlineLevel="0" collapsed="false">
      <c r="A400" s="13" t="n">
        <f aca="false">A399+$F$3</f>
        <v>15760</v>
      </c>
      <c r="B400" s="20" t="n">
        <f aca="false">SUMPRODUCT(固有振動数!$Q$6:$Q$22*(1-($A400/固有振動数!$O$6:$O$22)^2)/((1-($A400/固有振動数!$O$6:$O$22)^2)^2+固有振動数!$P$6:$P$22^2))</f>
        <v>17.760406866546</v>
      </c>
      <c r="C400" s="20" t="n">
        <f aca="false">-SUMPRODUCT(固有振動数!$Q$6:$Q$22*固有振動数!$P$6:$P$22/((1-($A400/固有振動数!$O$6:$O$22)^2)^2+固有振動数!$P$6:$P$22^2))</f>
        <v>-0.0275450730364928</v>
      </c>
      <c r="D400" s="20" t="n">
        <f aca="false">SQRT(B400^2+C400^2)</f>
        <v>17.7604282267152</v>
      </c>
      <c r="E400" s="32" t="n">
        <f aca="false">20*LOG10(MAX(D400,0.000000000001)/$K$3)</f>
        <v>24.9890686593216</v>
      </c>
    </row>
    <row r="401" customFormat="false" ht="15" hidden="false" customHeight="false" outlineLevel="0" collapsed="false">
      <c r="A401" s="13" t="n">
        <f aca="false">A400+$F$3</f>
        <v>15800</v>
      </c>
      <c r="B401" s="20" t="n">
        <f aca="false">SUMPRODUCT(固有振動数!$Q$6:$Q$22*(1-($A401/固有振動数!$O$6:$O$22)^2)/((1-($A401/固有振動数!$O$6:$O$22)^2)^2+固有振動数!$P$6:$P$22^2))</f>
        <v>18.3973535694644</v>
      </c>
      <c r="C401" s="20" t="n">
        <f aca="false">-SUMPRODUCT(固有振動数!$Q$6:$Q$22*固有振動数!$P$6:$P$22/((1-($A401/固有振動数!$O$6:$O$22)^2)^2+固有振動数!$P$6:$P$22^2))</f>
        <v>-0.0300046897796282</v>
      </c>
      <c r="D401" s="20" t="n">
        <f aca="false">SQRT(B401^2+C401^2)</f>
        <v>18.397378037136</v>
      </c>
      <c r="E401" s="32" t="n">
        <f aca="false">20*LOG10(MAX(D401,0.000000000001)/$K$3)</f>
        <v>25.2951186502529</v>
      </c>
    </row>
    <row r="402" customFormat="false" ht="15" hidden="false" customHeight="false" outlineLevel="0" collapsed="false">
      <c r="A402" s="13" t="n">
        <f aca="false">A401+$F$3</f>
        <v>15840</v>
      </c>
      <c r="B402" s="20" t="n">
        <f aca="false">SUMPRODUCT(固有振動数!$Q$6:$Q$22*(1-($A402/固有振動数!$O$6:$O$22)^2)/((1-($A402/固有振動数!$O$6:$O$22)^2)^2+固有振動数!$P$6:$P$22^2))</f>
        <v>19.0966897806013</v>
      </c>
      <c r="C402" s="20" t="n">
        <f aca="false">-SUMPRODUCT(固有振動数!$Q$6:$Q$22*固有振動数!$P$6:$P$22/((1-($A402/固有振動数!$O$6:$O$22)^2)^2+固有振動数!$P$6:$P$22^2))</f>
        <v>-0.032889707000682</v>
      </c>
      <c r="D402" s="20" t="n">
        <f aca="false">SQRT(B402^2+C402^2)</f>
        <v>19.0967181031021</v>
      </c>
      <c r="E402" s="32" t="n">
        <f aca="false">20*LOG10(MAX(D402,0.000000000001)/$K$3)</f>
        <v>25.6191747458128</v>
      </c>
    </row>
    <row r="403" customFormat="false" ht="15" hidden="false" customHeight="false" outlineLevel="0" collapsed="false">
      <c r="A403" s="13" t="n">
        <f aca="false">A402+$F$3</f>
        <v>15880</v>
      </c>
      <c r="B403" s="20" t="n">
        <f aca="false">SUMPRODUCT(固有振動数!$Q$6:$Q$22*(1-($A403/固有振動数!$O$6:$O$22)^2)/((1-($A403/固有振動数!$O$6:$O$22)^2)^2+固有振動数!$P$6:$P$22^2))</f>
        <v>19.8697367331277</v>
      </c>
      <c r="C403" s="20" t="n">
        <f aca="false">-SUMPRODUCT(固有振動数!$Q$6:$Q$22*固有振動数!$P$6:$P$22/((1-($A403/固有振動数!$O$6:$O$22)^2)^2+固有振動数!$P$6:$P$22^2))</f>
        <v>-0.0363040121754167</v>
      </c>
      <c r="D403" s="20" t="n">
        <f aca="false">SQRT(B403^2+C403^2)</f>
        <v>19.8697698986451</v>
      </c>
      <c r="E403" s="32" t="n">
        <f aca="false">20*LOG10(MAX(D403,0.000000000001)/$K$3)</f>
        <v>25.9638567560591</v>
      </c>
    </row>
    <row r="404" customFormat="false" ht="15" hidden="false" customHeight="false" outlineLevel="0" collapsed="false">
      <c r="A404" s="13" t="n">
        <f aca="false">A403+$F$3</f>
        <v>15920</v>
      </c>
      <c r="B404" s="20" t="n">
        <f aca="false">SUMPRODUCT(固有振動数!$Q$6:$Q$22*(1-($A404/固有振動数!$O$6:$O$22)^2)/((1-($A404/固有振動数!$O$6:$O$22)^2)^2+固有振動数!$P$6:$P$22^2))</f>
        <v>20.730682340895</v>
      </c>
      <c r="C404" s="20" t="n">
        <f aca="false">-SUMPRODUCT(固有振動数!$Q$6:$Q$22*固有振動数!$P$6:$P$22/((1-($A404/固有振動数!$O$6:$O$22)^2)^2+固有振動数!$P$6:$P$22^2))</f>
        <v>-0.0403854314415287</v>
      </c>
      <c r="D404" s="20" t="n">
        <f aca="false">SQRT(B404^2+C404^2)</f>
        <v>20.7307216782766</v>
      </c>
      <c r="E404" s="32" t="n">
        <f aca="false">20*LOG10(MAX(D404,0.000000000001)/$K$3)</f>
        <v>26.3322884204954</v>
      </c>
    </row>
    <row r="405" customFormat="false" ht="15" hidden="false" customHeight="false" outlineLevel="0" collapsed="false">
      <c r="A405" s="13" t="n">
        <f aca="false">A404+$F$3</f>
        <v>15960</v>
      </c>
      <c r="B405" s="20" t="n">
        <f aca="false">SUMPRODUCT(固有振動数!$Q$6:$Q$22*(1-($A405/固有振動数!$O$6:$O$22)^2)/((1-($A405/固有振動数!$O$6:$O$22)^2)^2+固有振動数!$P$6:$P$22^2))</f>
        <v>21.697553718777</v>
      </c>
      <c r="C405" s="20" t="n">
        <f aca="false">-SUMPRODUCT(固有振動数!$Q$6:$Q$22*固有振動数!$P$6:$P$22/((1-($A405/固有振動数!$O$6:$O$22)^2)^2+固有振動数!$P$6:$P$22^2))</f>
        <v>-0.0453199668968407</v>
      </c>
      <c r="D405" s="20" t="n">
        <f aca="false">SQRT(B405^2+C405^2)</f>
        <v>21.697601048932</v>
      </c>
      <c r="E405" s="32" t="n">
        <f aca="false">20*LOG10(MAX(D405,0.000000000001)/$K$3)</f>
        <v>26.7282343923585</v>
      </c>
    </row>
    <row r="406" customFormat="false" ht="15" hidden="false" customHeight="false" outlineLevel="0" collapsed="false">
      <c r="A406" s="13" t="n">
        <f aca="false">A405+$F$3</f>
        <v>16000</v>
      </c>
      <c r="B406" s="20" t="n">
        <f aca="false">SUMPRODUCT(固有振動数!$Q$6:$Q$22*(1-($A406/固有振動数!$O$6:$O$22)^2)/((1-($A406/固有振動数!$O$6:$O$22)^2)^2+固有振動数!$P$6:$P$22^2))</f>
        <v>22.7936142025187</v>
      </c>
      <c r="C406" s="20" t="n">
        <f aca="false">-SUMPRODUCT(固有振動数!$Q$6:$Q$22*固有振動数!$P$6:$P$22/((1-($A406/固有振動数!$O$6:$O$22)^2)^2+固有振動数!$P$6:$P$22^2))</f>
        <v>-0.0513635271405538</v>
      </c>
      <c r="D406" s="20" t="n">
        <f aca="false">SQRT(B406^2+C406^2)</f>
        <v>22.7936720741785</v>
      </c>
      <c r="E406" s="32" t="n">
        <f aca="false">20*LOG10(MAX(D406,0.000000000001)/$K$3)</f>
        <v>27.1562859183398</v>
      </c>
    </row>
    <row r="407" customFormat="false" ht="15" hidden="false" customHeight="false" outlineLevel="0" collapsed="false">
      <c r="A407" s="13" t="n">
        <f aca="false">A406+$F$3</f>
        <v>16040</v>
      </c>
      <c r="B407" s="20" t="n">
        <f aca="false">SUMPRODUCT(固有振動数!$Q$6:$Q$22*(1-($A407/固有振動数!$O$6:$O$22)^2)/((1-($A407/固有振動数!$O$6:$O$22)^2)^2+固有振動数!$P$6:$P$22^2))</f>
        <v>24.0494180204356</v>
      </c>
      <c r="C407" s="20" t="n">
        <f aca="false">-SUMPRODUCT(固有振動数!$Q$6:$Q$22*固有振動数!$P$6:$P$22/((1-($A407/固有振動数!$O$6:$O$22)^2)^2+固有振動数!$P$6:$P$22^2))</f>
        <v>-0.0588760238224812</v>
      </c>
      <c r="D407" s="20" t="n">
        <f aca="false">SQRT(B407^2+C407^2)</f>
        <v>24.0494900883124</v>
      </c>
      <c r="E407" s="32" t="n">
        <f aca="false">20*LOG10(MAX(D407,0.000000000001)/$K$3)</f>
        <v>27.6221174527169</v>
      </c>
    </row>
    <row r="408" customFormat="false" ht="15" hidden="false" customHeight="false" outlineLevel="0" collapsed="false">
      <c r="A408" s="13" t="n">
        <f aca="false">A407+$F$3</f>
        <v>16080</v>
      </c>
      <c r="B408" s="20" t="n">
        <f aca="false">SUMPRODUCT(固有振動数!$Q$6:$Q$22*(1-($A408/固有振動数!$O$6:$O$22)^2)/((1-($A408/固有振動数!$O$6:$O$22)^2)^2+固有振動数!$P$6:$P$22^2))</f>
        <v>25.5059145767673</v>
      </c>
      <c r="C408" s="20" t="n">
        <f aca="false">-SUMPRODUCT(固有振動数!$Q$6:$Q$22*固有振動数!$P$6:$P$22/((1-($A408/固有振動数!$O$6:$O$22)^2)^2+固有振動数!$P$6:$P$22^2))</f>
        <v>-0.0683765857270896</v>
      </c>
      <c r="D408" s="20" t="n">
        <f aca="false">SQRT(B408^2+C408^2)</f>
        <v>25.5060062290204</v>
      </c>
      <c r="E408" s="32" t="n">
        <f aca="false">20*LOG10(MAX(D408,0.000000000001)/$K$3)</f>
        <v>28.1328492282643</v>
      </c>
    </row>
    <row r="409" customFormat="false" ht="15" hidden="false" customHeight="false" outlineLevel="0" collapsed="false">
      <c r="A409" s="13" t="n">
        <f aca="false">A408+$F$3</f>
        <v>16120</v>
      </c>
      <c r="B409" s="20" t="n">
        <f aca="false">SUMPRODUCT(固有振動数!$Q$6:$Q$22*(1-($A409/固有振動数!$O$6:$O$22)^2)/((1-($A409/固有振動数!$O$6:$O$22)^2)^2+固有振動数!$P$6:$P$22^2))</f>
        <v>27.2192861271716</v>
      </c>
      <c r="C409" s="20" t="n">
        <f aca="false">-SUMPRODUCT(固有振動数!$Q$6:$Q$22*固有振動数!$P$6:$P$22/((1-($A409/固有振動数!$O$6:$O$22)^2)^2+固有振動数!$P$6:$P$22^2))</f>
        <v>-0.0806362820086587</v>
      </c>
      <c r="D409" s="20" t="n">
        <f aca="false">SQRT(B409^2+C409^2)</f>
        <v>27.2194055681386</v>
      </c>
      <c r="E409" s="32" t="n">
        <f aca="false">20*LOG10(MAX(D409,0.000000000001)/$K$3)</f>
        <v>28.6975727323381</v>
      </c>
    </row>
    <row r="410" customFormat="false" ht="15" hidden="false" customHeight="false" outlineLevel="0" collapsed="false">
      <c r="A410" s="13" t="n">
        <f aca="false">A409+$F$3</f>
        <v>16160</v>
      </c>
      <c r="B410" s="20" t="n">
        <f aca="false">SUMPRODUCT(固有振動数!$Q$6:$Q$22*(1-($A410/固有振動数!$O$6:$O$22)^2)/((1-($A410/固有振動数!$O$6:$O$22)^2)^2+固有振動数!$P$6:$P$22^2))</f>
        <v>29.2687639478862</v>
      </c>
      <c r="C410" s="20" t="n">
        <f aca="false">-SUMPRODUCT(固有振動数!$Q$6:$Q$22*固有振動数!$P$6:$P$22/((1-($A410/固有振動数!$O$6:$O$22)^2)^2+固有振動数!$P$6:$P$22^2))</f>
        <v>-0.0968405872419326</v>
      </c>
      <c r="D410" s="20" t="n">
        <f aca="false">SQRT(B410^2+C410^2)</f>
        <v>29.2689241540652</v>
      </c>
      <c r="E410" s="32" t="n">
        <f aca="false">20*LOG10(MAX(D410,0.000000000001)/$K$3)</f>
        <v>29.3281351848973</v>
      </c>
    </row>
    <row r="411" customFormat="false" ht="15" hidden="false" customHeight="false" outlineLevel="0" collapsed="false">
      <c r="A411" s="13" t="n">
        <f aca="false">A410+$F$3</f>
        <v>16200</v>
      </c>
      <c r="B411" s="20" t="n">
        <f aca="false">SUMPRODUCT(固有振動数!$Q$6:$Q$22*(1-($A411/固有振動数!$O$6:$O$22)^2)/((1-($A411/固有振動数!$O$6:$O$22)^2)^2+固有振動数!$P$6:$P$22^2))</f>
        <v>31.7698070772974</v>
      </c>
      <c r="C411" s="20" t="n">
        <f aca="false">-SUMPRODUCT(固有振動数!$Q$6:$Q$22*固有振動数!$P$6:$P$22/((1-($A411/固有振動数!$O$6:$O$22)^2)^2+固有振動数!$P$6:$P$22^2))</f>
        <v>-0.118888699866878</v>
      </c>
      <c r="D411" s="20" t="n">
        <f aca="false">SQRT(B411^2+C411^2)</f>
        <v>31.7700295286557</v>
      </c>
      <c r="E411" s="32" t="n">
        <f aca="false">20*LOG10(MAX(D411,0.000000000001)/$K$3)</f>
        <v>30.0403523696473</v>
      </c>
    </row>
    <row r="412" customFormat="false" ht="15" hidden="false" customHeight="false" outlineLevel="0" collapsed="false">
      <c r="A412" s="13" t="n">
        <f aca="false">A411+$F$3</f>
        <v>16240</v>
      </c>
      <c r="B412" s="20" t="n">
        <f aca="false">SUMPRODUCT(固有振動数!$Q$6:$Q$22*(1-($A412/固有振動数!$O$6:$O$22)^2)/((1-($A412/固有振動数!$O$6:$O$22)^2)^2+固有振動数!$P$6:$P$22^2))</f>
        <v>34.897490116985</v>
      </c>
      <c r="C412" s="20" t="n">
        <f aca="false">-SUMPRODUCT(固有振動数!$Q$6:$Q$22*固有振動数!$P$6:$P$22/((1-($A412/固有振動数!$O$6:$O$22)^2)^2+固有振動数!$P$6:$P$22^2))</f>
        <v>-0.149979310424891</v>
      </c>
      <c r="D412" s="20" t="n">
        <f aca="false">SQRT(B412^2+C412^2)</f>
        <v>34.897812399327</v>
      </c>
      <c r="E412" s="32" t="n">
        <f aca="false">20*LOG10(MAX(D412,0.000000000001)/$K$3)</f>
        <v>30.8559640734655</v>
      </c>
    </row>
    <row r="413" customFormat="false" ht="15" hidden="false" customHeight="false" outlineLevel="0" collapsed="false">
      <c r="A413" s="13" t="n">
        <f aca="false">A412+$F$3</f>
        <v>16280</v>
      </c>
      <c r="B413" s="20" t="n">
        <f aca="false">SUMPRODUCT(固有振動数!$Q$6:$Q$22*(1-($A413/固有振動数!$O$6:$O$22)^2)/((1-($A413/固有振動数!$O$6:$O$22)^2)^2+固有振動数!$P$6:$P$22^2))</f>
        <v>38.9306942564659</v>
      </c>
      <c r="C413" s="20" t="n">
        <f aca="false">-SUMPRODUCT(固有振動数!$Q$6:$Q$22*固有振動数!$P$6:$P$22/((1-($A413/固有振動数!$O$6:$O$22)^2)^2+固有振動数!$P$6:$P$22^2))</f>
        <v>-0.195845130967561</v>
      </c>
      <c r="D413" s="20" t="n">
        <f aca="false">SQRT(B413^2+C413^2)</f>
        <v>38.9311868635641</v>
      </c>
      <c r="E413" s="32" t="n">
        <f aca="false">20*LOG10(MAX(D413,0.000000000001)/$K$3)</f>
        <v>31.8059528780825</v>
      </c>
    </row>
    <row r="414" customFormat="false" ht="15" hidden="false" customHeight="false" outlineLevel="0" collapsed="false">
      <c r="A414" s="13" t="n">
        <f aca="false">A413+$F$3</f>
        <v>16320</v>
      </c>
      <c r="B414" s="20" t="n">
        <f aca="false">SUMPRODUCT(固有振動数!$Q$6:$Q$22*(1-($A414/固有振動数!$O$6:$O$22)^2)/((1-($A414/固有振動数!$O$6:$O$22)^2)^2+固有振動数!$P$6:$P$22^2))</f>
        <v>44.3424460497857</v>
      </c>
      <c r="C414" s="20" t="n">
        <f aca="false">-SUMPRODUCT(固有振動数!$Q$6:$Q$22*固有振動数!$P$6:$P$22/((1-($A414/固有振動数!$O$6:$O$22)^2)^2+固有振動数!$P$6:$P$22^2))</f>
        <v>-0.267609342772268</v>
      </c>
      <c r="D414" s="20" t="n">
        <f aca="false">SQRT(B414^2+C414^2)</f>
        <v>44.3432535617144</v>
      </c>
      <c r="E414" s="32" t="n">
        <f aca="false">20*LOG10(MAX(D414,0.000000000001)/$K$3)</f>
        <v>32.9365511017129</v>
      </c>
    </row>
    <row r="415" customFormat="false" ht="15" hidden="false" customHeight="false" outlineLevel="0" collapsed="false">
      <c r="A415" s="13" t="n">
        <f aca="false">A414+$F$3</f>
        <v>16360</v>
      </c>
      <c r="B415" s="20" t="n">
        <f aca="false">SUMPRODUCT(固有振動数!$Q$6:$Q$22*(1-($A415/固有振動数!$O$6:$O$22)^2)/((1-($A415/固有振動数!$O$6:$O$22)^2)^2+固有振動数!$P$6:$P$22^2))</f>
        <v>52.0044692285956</v>
      </c>
      <c r="C415" s="20" t="n">
        <f aca="false">-SUMPRODUCT(固有振動数!$Q$6:$Q$22*固有振動数!$P$6:$P$22/((1-($A415/固有振動数!$O$6:$O$22)^2)^2+固有振動数!$P$6:$P$22^2))</f>
        <v>-0.389250723481849</v>
      </c>
      <c r="D415" s="20" t="n">
        <f aca="false">SQRT(B415^2+C415^2)</f>
        <v>52.0059259688132</v>
      </c>
      <c r="E415" s="32" t="n">
        <f aca="false">20*LOG10(MAX(D415,0.000000000001)/$K$3)</f>
        <v>34.3210566684348</v>
      </c>
    </row>
    <row r="416" customFormat="false" ht="15" hidden="false" customHeight="false" outlineLevel="0" collapsed="false">
      <c r="A416" s="13" t="n">
        <f aca="false">A415+$F$3</f>
        <v>16400</v>
      </c>
      <c r="B416" s="20" t="n">
        <f aca="false">SUMPRODUCT(固有振動数!$Q$6:$Q$22*(1-($A416/固有振動数!$O$6:$O$22)^2)/((1-($A416/固有振動数!$O$6:$O$22)^2)^2+固有振動数!$P$6:$P$22^2))</f>
        <v>63.7193600772927</v>
      </c>
      <c r="C416" s="20" t="n">
        <f aca="false">-SUMPRODUCT(固有振動数!$Q$6:$Q$22*固有振動数!$P$6:$P$22/((1-($A416/固有振動数!$O$6:$O$22)^2)^2+固有振動数!$P$6:$P$22^2))</f>
        <v>-0.620652090784943</v>
      </c>
      <c r="D416" s="20" t="n">
        <f aca="false">SQRT(B416^2+C416^2)</f>
        <v>63.7223827055884</v>
      </c>
      <c r="E416" s="32" t="n">
        <f aca="false">20*LOG10(MAX(D416,0.000000000001)/$K$3)</f>
        <v>36.0858401312016</v>
      </c>
    </row>
    <row r="417" customFormat="false" ht="15" hidden="false" customHeight="false" outlineLevel="0" collapsed="false">
      <c r="A417" s="13" t="n">
        <f aca="false">A416+$F$3</f>
        <v>16440</v>
      </c>
      <c r="B417" s="20" t="n">
        <f aca="false">SUMPRODUCT(固有振動数!$Q$6:$Q$22*(1-($A417/固有振動数!$O$6:$O$22)^2)/((1-($A417/固有振動数!$O$6:$O$22)^2)^2+固有振動数!$P$6:$P$22^2))</f>
        <v>83.9153313786115</v>
      </c>
      <c r="C417" s="20" t="n">
        <f aca="false">-SUMPRODUCT(固有振動数!$Q$6:$Q$22*固有振動数!$P$6:$P$22/((1-($A417/固有振動数!$O$6:$O$22)^2)^2+固有振動数!$P$6:$P$22^2))</f>
        <v>-1.14857231812459</v>
      </c>
      <c r="D417" s="20" t="n">
        <f aca="false">SQRT(B417^2+C417^2)</f>
        <v>83.9231914237783</v>
      </c>
      <c r="E417" s="32" t="n">
        <f aca="false">20*LOG10(MAX(D417,0.000000000001)/$K$3)</f>
        <v>38.4776398162416</v>
      </c>
    </row>
    <row r="418" customFormat="false" ht="15" hidden="false" customHeight="false" outlineLevel="0" collapsed="false">
      <c r="A418" s="13" t="n">
        <f aca="false">A417+$F$3</f>
        <v>16480</v>
      </c>
      <c r="B418" s="20" t="n">
        <f aca="false">SUMPRODUCT(固有振動数!$Q$6:$Q$22*(1-($A418/固有振動数!$O$6:$O$22)^2)/((1-($A418/固有振動数!$O$6:$O$22)^2)^2+固有振動数!$P$6:$P$22^2))</f>
        <v>127.160357045034</v>
      </c>
      <c r="C418" s="20" t="n">
        <f aca="false">-SUMPRODUCT(固有振動数!$Q$6:$Q$22*固有振動数!$P$6:$P$22/((1-($A418/固有振動数!$O$6:$O$22)^2)^2+固有振動数!$P$6:$P$22^2))</f>
        <v>-2.82861995795453</v>
      </c>
      <c r="D418" s="20" t="n">
        <f aca="false">SQRT(B418^2+C418^2)</f>
        <v>127.191813788023</v>
      </c>
      <c r="E418" s="32" t="n">
        <f aca="false">20*LOG10(MAX(D418,0.000000000001)/$K$3)</f>
        <v>42.0891832103523</v>
      </c>
    </row>
    <row r="419" customFormat="false" ht="15" hidden="false" customHeight="false" outlineLevel="0" collapsed="false">
      <c r="A419" s="13" t="n">
        <f aca="false">A418+$F$3</f>
        <v>16520</v>
      </c>
      <c r="B419" s="20" t="n">
        <f aca="false">SUMPRODUCT(固有振動数!$Q$6:$Q$22*(1-($A419/固有振動数!$O$6:$O$22)^2)/((1-($A419/固有振動数!$O$6:$O$22)^2)^2+固有振動数!$P$6:$P$22^2))</f>
        <v>285.834548083436</v>
      </c>
      <c r="C419" s="20" t="n">
        <f aca="false">-SUMPRODUCT(固有振動数!$Q$6:$Q$22*固有振動数!$P$6:$P$22/((1-($A419/固有振動数!$O$6:$O$22)^2)^2+固有振動数!$P$6:$P$22^2))</f>
        <v>-15.4420576572513</v>
      </c>
      <c r="D419" s="20" t="n">
        <f aca="false">SQRT(B419^2+C419^2)</f>
        <v>286.251368595422</v>
      </c>
      <c r="E419" s="32" t="n">
        <f aca="false">20*LOG10(MAX(D419,0.000000000001)/$K$3)</f>
        <v>49.1349514351349</v>
      </c>
    </row>
    <row r="420" customFormat="false" ht="15" hidden="false" customHeight="false" outlineLevel="0" collapsed="false">
      <c r="A420" s="13" t="n">
        <f aca="false">A419+$F$3</f>
        <v>16560</v>
      </c>
      <c r="B420" s="20" t="n">
        <f aca="false">SUMPRODUCT(固有振動数!$Q$6:$Q$22*(1-($A420/固有振動数!$O$6:$O$22)^2)/((1-($A420/固有振動数!$O$6:$O$22)^2)^2+固有振動数!$P$6:$P$22^2))</f>
        <v>-779.162358200638</v>
      </c>
      <c r="C420" s="20" t="n">
        <f aca="false">-SUMPRODUCT(固有振動数!$Q$6:$Q$22*固有振動数!$P$6:$P$22/((1-($A420/固有振動数!$O$6:$O$22)^2)^2+固有振動数!$P$6:$P$22^2))</f>
        <v>-127.332598656991</v>
      </c>
      <c r="D420" s="20" t="n">
        <f aca="false">SQRT(B420^2+C420^2)</f>
        <v>789.49830342916</v>
      </c>
      <c r="E420" s="32" t="n">
        <f aca="false">20*LOG10(MAX(D420,0.000000000001)/$K$3)</f>
        <v>57.9470240216007</v>
      </c>
    </row>
    <row r="421" customFormat="false" ht="15" hidden="false" customHeight="false" outlineLevel="0" collapsed="false">
      <c r="A421" s="13" t="n">
        <f aca="false">A420+$F$3</f>
        <v>16600</v>
      </c>
      <c r="B421" s="20" t="n">
        <f aca="false">SUMPRODUCT(固有振動数!$Q$6:$Q$22*(1-($A421/固有振動数!$O$6:$O$22)^2)/((1-($A421/固有振動数!$O$6:$O$22)^2)^2+固有振動数!$P$6:$P$22^2))</f>
        <v>-155.715569586321</v>
      </c>
      <c r="C421" s="20" t="n">
        <f aca="false">-SUMPRODUCT(固有振動数!$Q$6:$Q$22*固有振動数!$P$6:$P$22/((1-($A421/固有振動数!$O$6:$O$22)^2)^2+固有振動数!$P$6:$P$22^2))</f>
        <v>-5.40920226271498</v>
      </c>
      <c r="D421" s="20" t="n">
        <f aca="false">SQRT(B421^2+C421^2)</f>
        <v>155.809492909487</v>
      </c>
      <c r="E421" s="32" t="n">
        <f aca="false">20*LOG10(MAX(D421,0.000000000001)/$K$3)</f>
        <v>43.8518782827275</v>
      </c>
    </row>
    <row r="422" customFormat="false" ht="15" hidden="false" customHeight="false" outlineLevel="0" collapsed="false">
      <c r="A422" s="13" t="n">
        <f aca="false">A421+$F$3</f>
        <v>16640</v>
      </c>
      <c r="B422" s="20" t="n">
        <f aca="false">SUMPRODUCT(固有振動数!$Q$6:$Q$22*(1-($A422/固有振動数!$O$6:$O$22)^2)/((1-($A422/固有振動数!$O$6:$O$22)^2)^2+固有振動数!$P$6:$P$22^2))</f>
        <v>-82.7715019726022</v>
      </c>
      <c r="C422" s="20" t="n">
        <f aca="false">-SUMPRODUCT(固有振動数!$Q$6:$Q$22*固有振動数!$P$6:$P$22/((1-($A422/固有振動数!$O$6:$O$22)^2)^2+固有振動数!$P$6:$P$22^2))</f>
        <v>-1.67692551858472</v>
      </c>
      <c r="D422" s="20" t="n">
        <f aca="false">SQRT(B422^2+C422^2)</f>
        <v>82.7884872309874</v>
      </c>
      <c r="E422" s="32" t="n">
        <f aca="false">20*LOG10(MAX(D422,0.000000000001)/$K$3)</f>
        <v>38.3593989386713</v>
      </c>
    </row>
    <row r="423" customFormat="false" ht="15" hidden="false" customHeight="false" outlineLevel="0" collapsed="false">
      <c r="A423" s="13" t="n">
        <f aca="false">A422+$F$3</f>
        <v>16680</v>
      </c>
      <c r="B423" s="20" t="n">
        <f aca="false">SUMPRODUCT(固有振動数!$Q$6:$Q$22*(1-($A423/固有振動数!$O$6:$O$22)^2)/((1-($A423/固有振動数!$O$6:$O$22)^2)^2+固有振動数!$P$6:$P$22^2))</f>
        <v>-54.5552535485684</v>
      </c>
      <c r="C423" s="20" t="n">
        <f aca="false">-SUMPRODUCT(固有振動数!$Q$6:$Q$22*固有振動数!$P$6:$P$22/((1-($A423/固有振動数!$O$6:$O$22)^2)^2+固有振動数!$P$6:$P$22^2))</f>
        <v>-0.805691620383168</v>
      </c>
      <c r="D423" s="20" t="n">
        <f aca="false">SQRT(B423^2+C423^2)</f>
        <v>54.5612025961281</v>
      </c>
      <c r="E423" s="32" t="n">
        <f aca="false">20*LOG10(MAX(D423,0.000000000001)/$K$3)</f>
        <v>34.7376786827876</v>
      </c>
    </row>
    <row r="424" customFormat="false" ht="15" hidden="false" customHeight="false" outlineLevel="0" collapsed="false">
      <c r="A424" s="13" t="n">
        <f aca="false">A423+$F$3</f>
        <v>16720</v>
      </c>
      <c r="B424" s="20" t="n">
        <f aca="false">SUMPRODUCT(固有振動数!$Q$6:$Q$22*(1-($A424/固有振動数!$O$6:$O$22)^2)/((1-($A424/固有振動数!$O$6:$O$22)^2)^2+固有振動数!$P$6:$P$22^2))</f>
        <v>-39.5603843831442</v>
      </c>
      <c r="C424" s="20" t="n">
        <f aca="false">-SUMPRODUCT(固有振動数!$Q$6:$Q$22*固有振動数!$P$6:$P$22/((1-($A424/固有振動数!$O$6:$O$22)^2)^2+固有振動数!$P$6:$P$22^2))</f>
        <v>-0.472429055917125</v>
      </c>
      <c r="D424" s="20" t="n">
        <f aca="false">SQRT(B424^2+C424^2)</f>
        <v>39.5632051501771</v>
      </c>
      <c r="E424" s="32" t="n">
        <f aca="false">20*LOG10(MAX(D424,0.000000000001)/$K$3)</f>
        <v>31.9458293605501</v>
      </c>
    </row>
    <row r="425" customFormat="false" ht="15" hidden="false" customHeight="false" outlineLevel="0" collapsed="false">
      <c r="A425" s="13" t="n">
        <f aca="false">A424+$F$3</f>
        <v>16760</v>
      </c>
      <c r="B425" s="20" t="n">
        <f aca="false">SUMPRODUCT(固有振動数!$Q$6:$Q$22*(1-($A425/固有振動数!$O$6:$O$22)^2)/((1-($A425/固有振動数!$O$6:$O$22)^2)^2+固有振動数!$P$6:$P$22^2))</f>
        <v>-30.243142236025</v>
      </c>
      <c r="C425" s="20" t="n">
        <f aca="false">-SUMPRODUCT(固有振動数!$Q$6:$Q$22*固有振動数!$P$6:$P$22/((1-($A425/固有振動数!$O$6:$O$22)^2)^2+固有振動数!$P$6:$P$22^2))</f>
        <v>-0.310684778595971</v>
      </c>
      <c r="D425" s="20" t="n">
        <f aca="false">SQRT(B425^2+C425^2)</f>
        <v>30.2447380107695</v>
      </c>
      <c r="E425" s="32" t="n">
        <f aca="false">20*LOG10(MAX(D425,0.000000000001)/$K$3)</f>
        <v>29.6129965373436</v>
      </c>
    </row>
    <row r="426" customFormat="false" ht="15" hidden="false" customHeight="false" outlineLevel="0" collapsed="false">
      <c r="A426" s="13" t="n">
        <f aca="false">A425+$F$3</f>
        <v>16800</v>
      </c>
      <c r="B426" s="20" t="n">
        <f aca="false">SUMPRODUCT(固有振動数!$Q$6:$Q$22*(1-($A426/固有振動数!$O$6:$O$22)^2)/((1-($A426/固有振動数!$O$6:$O$22)^2)^2+固有振動数!$P$6:$P$22^2))</f>
        <v>-23.8814737370834</v>
      </c>
      <c r="C426" s="20" t="n">
        <f aca="false">-SUMPRODUCT(固有振動数!$Q$6:$Q$22*固有振動数!$P$6:$P$22/((1-($A426/固有振動数!$O$6:$O$22)^2)^2+固有振動数!$P$6:$P$22^2))</f>
        <v>-0.220204962101842</v>
      </c>
      <c r="D426" s="20" t="n">
        <f aca="false">SQRT(B426^2+C426^2)</f>
        <v>23.8824889423263</v>
      </c>
      <c r="E426" s="32" t="n">
        <f aca="false">20*LOG10(MAX(D426,0.000000000001)/$K$3)</f>
        <v>27.5615917067603</v>
      </c>
    </row>
    <row r="427" customFormat="false" ht="15" hidden="false" customHeight="false" outlineLevel="0" collapsed="false">
      <c r="A427" s="13" t="n">
        <f aca="false">A426+$F$3</f>
        <v>16840</v>
      </c>
      <c r="B427" s="20" t="n">
        <f aca="false">SUMPRODUCT(固有振動数!$Q$6:$Q$22*(1-($A427/固有振動数!$O$6:$O$22)^2)/((1-($A427/固有振動数!$O$6:$O$22)^2)^2+固有振動数!$P$6:$P$22^2))</f>
        <v>-19.25355811924</v>
      </c>
      <c r="C427" s="20" t="n">
        <f aca="false">-SUMPRODUCT(固有振動数!$Q$6:$Q$22*固有振動数!$P$6:$P$22/((1-($A427/固有振動数!$O$6:$O$22)^2)^2+固有振動数!$P$6:$P$22^2))</f>
        <v>-0.16455813353365</v>
      </c>
      <c r="D427" s="20" t="n">
        <f aca="false">SQRT(B427^2+C427^2)</f>
        <v>19.2542613369162</v>
      </c>
      <c r="E427" s="32" t="n">
        <f aca="false">20*LOG10(MAX(D427,0.000000000001)/$K$3)</f>
        <v>25.690537243434</v>
      </c>
    </row>
    <row r="428" customFormat="false" ht="15" hidden="false" customHeight="false" outlineLevel="0" collapsed="false">
      <c r="A428" s="13" t="n">
        <f aca="false">A427+$F$3</f>
        <v>16880</v>
      </c>
      <c r="B428" s="20" t="n">
        <f aca="false">SUMPRODUCT(固有振動数!$Q$6:$Q$22*(1-($A428/固有振動数!$O$6:$O$22)^2)/((1-($A428/固有振動数!$O$6:$O$22)^2)^2+固有振動数!$P$6:$P$22^2))</f>
        <v>-15.7294381635774</v>
      </c>
      <c r="C428" s="20" t="n">
        <f aca="false">-SUMPRODUCT(固有振動数!$Q$6:$Q$22*固有振動数!$P$6:$P$22/((1-($A428/固有振動数!$O$6:$O$22)^2)^2+固有振動数!$P$6:$P$22^2))</f>
        <v>-0.127930146162444</v>
      </c>
      <c r="D428" s="20" t="n">
        <f aca="false">SQRT(B428^2+C428^2)</f>
        <v>15.729958393591</v>
      </c>
      <c r="E428" s="32" t="n">
        <f aca="false">20*LOG10(MAX(D428,0.000000000001)/$K$3)</f>
        <v>23.9345514779486</v>
      </c>
    </row>
    <row r="429" customFormat="false" ht="15" hidden="false" customHeight="false" outlineLevel="0" collapsed="false">
      <c r="A429" s="13" t="n">
        <f aca="false">A428+$F$3</f>
        <v>16920</v>
      </c>
      <c r="B429" s="20" t="n">
        <f aca="false">SUMPRODUCT(固有振動数!$Q$6:$Q$22*(1-($A429/固有振動数!$O$6:$O$22)^2)/((1-($A429/固有振動数!$O$6:$O$22)^2)^2+固有振動数!$P$6:$P$22^2))</f>
        <v>-12.9513529915543</v>
      </c>
      <c r="C429" s="20" t="n">
        <f aca="false">-SUMPRODUCT(固有振動数!$Q$6:$Q$22*固有振動数!$P$6:$P$22/((1-($A429/固有振動数!$O$6:$O$22)^2)^2+固有振動数!$P$6:$P$22^2))</f>
        <v>-0.102557808631415</v>
      </c>
      <c r="D429" s="20" t="n">
        <f aca="false">SQRT(B429^2+C429^2)</f>
        <v>12.9517590471701</v>
      </c>
      <c r="E429" s="32" t="n">
        <f aca="false">20*LOG10(MAX(D429,0.000000000001)/$K$3)</f>
        <v>22.2465751252556</v>
      </c>
    </row>
    <row r="430" customFormat="false" ht="15" hidden="false" customHeight="false" outlineLevel="0" collapsed="false">
      <c r="A430" s="13" t="n">
        <f aca="false">A429+$F$3</f>
        <v>16960</v>
      </c>
      <c r="B430" s="20" t="n">
        <f aca="false">SUMPRODUCT(固有振動数!$Q$6:$Q$22*(1-($A430/固有振動数!$O$6:$O$22)^2)/((1-($A430/固有振動数!$O$6:$O$22)^2)^2+固有振動数!$P$6:$P$22^2))</f>
        <v>-10.7010533477631</v>
      </c>
      <c r="C430" s="20" t="n">
        <f aca="false">-SUMPRODUCT(固有振動数!$Q$6:$Q$22*固有振動数!$P$6:$P$22/((1-($A430/固有振動数!$O$6:$O$22)^2)^2+固有振動数!$P$6:$P$22^2))</f>
        <v>-0.0842685580682796</v>
      </c>
      <c r="D430" s="20" t="n">
        <f aca="false">SQRT(B430^2+C430^2)</f>
        <v>10.7013851412586</v>
      </c>
      <c r="E430" s="32" t="n">
        <f aca="false">20*LOG10(MAX(D430,0.000000000001)/$K$3)</f>
        <v>20.5887998906612</v>
      </c>
    </row>
    <row r="431" customFormat="false" ht="15" hidden="false" customHeight="false" outlineLevel="0" collapsed="false">
      <c r="A431" s="13" t="n">
        <f aca="false">A430+$F$3</f>
        <v>17000</v>
      </c>
      <c r="B431" s="20" t="n">
        <f aca="false">SUMPRODUCT(固有振動数!$Q$6:$Q$22*(1-($A431/固有振動数!$O$6:$O$22)^2)/((1-($A431/固有振動数!$O$6:$O$22)^2)^2+固有振動数!$P$6:$P$22^2))</f>
        <v>-8.83783546646966</v>
      </c>
      <c r="C431" s="20" t="n">
        <f aca="false">-SUMPRODUCT(固有振動数!$Q$6:$Q$22*固有振動数!$P$6:$P$22/((1-($A431/固有振動数!$O$6:$O$22)^2)^2+固有振動数!$P$6:$P$22^2))</f>
        <v>-0.0706576820296482</v>
      </c>
      <c r="D431" s="20" t="n">
        <f aca="false">SQRT(B431^2+C431^2)</f>
        <v>8.83811791279223</v>
      </c>
      <c r="E431" s="32" t="n">
        <f aca="false">20*LOG10(MAX(D431,0.000000000001)/$K$3)</f>
        <v>18.9271958271537</v>
      </c>
    </row>
    <row r="432" customFormat="false" ht="15" hidden="false" customHeight="false" outlineLevel="0" collapsed="false">
      <c r="A432" s="13" t="n">
        <f aca="false">A431+$F$3</f>
        <v>17040</v>
      </c>
      <c r="B432" s="20" t="n">
        <f aca="false">SUMPRODUCT(固有振動数!$Q$6:$Q$22*(1-($A432/固有振動数!$O$6:$O$22)^2)/((1-($A432/固有振動数!$O$6:$O$22)^2)^2+固有振動数!$P$6:$P$22^2))</f>
        <v>-7.26690779651025</v>
      </c>
      <c r="C432" s="20" t="n">
        <f aca="false">-SUMPRODUCT(固有振動数!$Q$6:$Q$22*固有振動数!$P$6:$P$22/((1-($A432/固有振動数!$O$6:$O$22)^2)^2+固有振動数!$P$6:$P$22^2))</f>
        <v>-0.0602603025205715</v>
      </c>
      <c r="D432" s="20" t="n">
        <f aca="false">SQRT(B432^2+C432^2)</f>
        <v>7.26715764429542</v>
      </c>
      <c r="E432" s="32" t="n">
        <f aca="false">20*LOG10(MAX(D432,0.000000000001)/$K$3)</f>
        <v>17.2272916263367</v>
      </c>
    </row>
    <row r="433" customFormat="false" ht="15" hidden="false" customHeight="false" outlineLevel="0" collapsed="false">
      <c r="A433" s="13" t="n">
        <f aca="false">A432+$F$3</f>
        <v>17080</v>
      </c>
      <c r="B433" s="20" t="n">
        <f aca="false">SUMPRODUCT(固有振動数!$Q$6:$Q$22*(1-($A433/固有振動数!$O$6:$O$22)^2)/((1-($A433/固有振動数!$O$6:$O$22)^2)^2+固有振動数!$P$6:$P$22^2))</f>
        <v>-5.92207456758027</v>
      </c>
      <c r="C433" s="20" t="n">
        <f aca="false">-SUMPRODUCT(固有振動数!$Q$6:$Q$22*固有振動数!$P$6:$P$22/((1-($A433/固有振動数!$O$6:$O$22)^2)^2+固有振動数!$P$6:$P$22^2))</f>
        <v>-0.0521428306137083</v>
      </c>
      <c r="D433" s="20" t="n">
        <f aca="false">SQRT(B433^2+C433^2)</f>
        <v>5.92230411738248</v>
      </c>
      <c r="E433" s="32" t="n">
        <f aca="false">20*LOG10(MAX(D433,0.000000000001)/$K$3)</f>
        <v>15.4498141033144</v>
      </c>
    </row>
    <row r="434" customFormat="false" ht="15" hidden="false" customHeight="false" outlineLevel="0" collapsed="false">
      <c r="A434" s="13" t="n">
        <f aca="false">A433+$F$3</f>
        <v>17120</v>
      </c>
      <c r="B434" s="20" t="n">
        <f aca="false">SUMPRODUCT(固有振動数!$Q$6:$Q$22*(1-($A434/固有振動数!$O$6:$O$22)^2)/((1-($A434/固有振動数!$O$6:$O$22)^2)^2+固有振動数!$P$6:$P$22^2))</f>
        <v>-4.75570691537098</v>
      </c>
      <c r="C434" s="20" t="n">
        <f aca="false">-SUMPRODUCT(固有振動数!$Q$6:$Q$22*固有振動数!$P$6:$P$22/((1-($A434/固有振動数!$O$6:$O$22)^2)^2+固有振動数!$P$6:$P$22^2))</f>
        <v>-0.0456875198583877</v>
      </c>
      <c r="D434" s="20" t="n">
        <f aca="false">SQRT(B434^2+C434^2)</f>
        <v>4.7559263676363</v>
      </c>
      <c r="E434" s="32" t="n">
        <f aca="false">20*LOG10(MAX(D434,0.000000000001)/$K$3)</f>
        <v>13.5447024430004</v>
      </c>
    </row>
    <row r="435" customFormat="false" ht="15" hidden="false" customHeight="false" outlineLevel="0" collapsed="false">
      <c r="A435" s="13" t="n">
        <f aca="false">A434+$F$3</f>
        <v>17160</v>
      </c>
      <c r="B435" s="20" t="n">
        <f aca="false">SUMPRODUCT(固有振動数!$Q$6:$Q$22*(1-($A435/固有振動数!$O$6:$O$22)^2)/((1-($A435/固有振動数!$O$6:$O$22)^2)^2+固有振動数!$P$6:$P$22^2))</f>
        <v>-3.73265800809469</v>
      </c>
      <c r="C435" s="20" t="n">
        <f aca="false">-SUMPRODUCT(固有振動数!$Q$6:$Q$22*固有振動数!$P$6:$P$22/((1-($A435/固有振動数!$O$6:$O$22)^2)^2+固有振動数!$P$6:$P$22^2))</f>
        <v>-0.0404724492256192</v>
      </c>
      <c r="D435" s="20" t="n">
        <f aca="false">SQRT(B435^2+C435^2)</f>
        <v>3.73287741890084</v>
      </c>
      <c r="E435" s="32" t="n">
        <f aca="false">20*LOG10(MAX(D435,0.000000000001)/$K$3)</f>
        <v>11.4408745739398</v>
      </c>
    </row>
    <row r="436" customFormat="false" ht="15" hidden="false" customHeight="false" outlineLevel="0" collapsed="false">
      <c r="A436" s="13" t="n">
        <f aca="false">A435+$F$3</f>
        <v>17200</v>
      </c>
      <c r="B436" s="20" t="n">
        <f aca="false">SUMPRODUCT(固有振動数!$Q$6:$Q$22*(1-($A436/固有振動数!$O$6:$O$22)^2)/((1-($A436/固有振動数!$O$6:$O$22)^2)^2+固有振動数!$P$6:$P$22^2))</f>
        <v>-2.82642394878661</v>
      </c>
      <c r="C436" s="20" t="n">
        <f aca="false">-SUMPRODUCT(固有振動数!$Q$6:$Q$22*固有振動数!$P$6:$P$22/((1-($A436/固有振動数!$O$6:$O$22)^2)^2+固有振動数!$P$6:$P$22^2))</f>
        <v>-0.0362015199998054</v>
      </c>
      <c r="D436" s="20" t="n">
        <f aca="false">SQRT(B436^2+C436^2)</f>
        <v>2.82665577818113</v>
      </c>
      <c r="E436" s="32" t="n">
        <f aca="false">20*LOG10(MAX(D436,0.000000000001)/$K$3)</f>
        <v>9.02545849212103</v>
      </c>
    </row>
    <row r="437" customFormat="false" ht="15" hidden="false" customHeight="false" outlineLevel="0" collapsed="false">
      <c r="A437" s="13" t="n">
        <f aca="false">A436+$F$3</f>
        <v>17240</v>
      </c>
      <c r="B437" s="20" t="n">
        <f aca="false">SUMPRODUCT(固有振動数!$Q$6:$Q$22*(1-($A437/固有振動数!$O$6:$O$22)^2)/((1-($A437/固有振動数!$O$6:$O$22)^2)^2+固有振動数!$P$6:$P$22^2))</f>
        <v>-2.01663948781284</v>
      </c>
      <c r="C437" s="20" t="n">
        <f aca="false">-SUMPRODUCT(固有振動数!$Q$6:$Q$22*固有振動数!$P$6:$P$22/((1-($A437/固有振動数!$O$6:$O$22)^2)^2+固有振動数!$P$6:$P$22^2))</f>
        <v>-0.0326619937821601</v>
      </c>
      <c r="D437" s="20" t="n">
        <f aca="false">SQRT(B437^2+C437^2)</f>
        <v>2.01690397134912</v>
      </c>
      <c r="E437" s="32" t="n">
        <f aca="false">20*LOG10(MAX(D437,0.000000000001)/$K$3)</f>
        <v>6.09370442230203</v>
      </c>
    </row>
    <row r="438" customFormat="false" ht="15" hidden="false" customHeight="false" outlineLevel="0" collapsed="false">
      <c r="A438" s="13" t="n">
        <f aca="false">A437+$F$3</f>
        <v>17280</v>
      </c>
      <c r="B438" s="20" t="n">
        <f aca="false">SUMPRODUCT(固有振動数!$Q$6:$Q$22*(1-($A438/固有振動数!$O$6:$O$22)^2)/((1-($A438/固有振動数!$O$6:$O$22)^2)^2+固有振動数!$P$6:$P$22^2))</f>
        <v>-1.28739675463517</v>
      </c>
      <c r="C438" s="20" t="n">
        <f aca="false">-SUMPRODUCT(固有振動数!$Q$6:$Q$22*固有振動数!$P$6:$P$22/((1-($A438/固有振動数!$O$6:$O$22)^2)^2+固有振動数!$P$6:$P$22^2))</f>
        <v>-0.029697851384568</v>
      </c>
      <c r="D438" s="20" t="n">
        <f aca="false">SQRT(B438^2+C438^2)</f>
        <v>1.2877392462071</v>
      </c>
      <c r="E438" s="32" t="n">
        <f aca="false">20*LOG10(MAX(D438,0.000000000001)/$K$3)</f>
        <v>2.19655863628365</v>
      </c>
    </row>
    <row r="439" customFormat="false" ht="15" hidden="false" customHeight="false" outlineLevel="0" collapsed="false">
      <c r="A439" s="13" t="n">
        <f aca="false">A438+$F$3</f>
        <v>17320</v>
      </c>
      <c r="B439" s="20" t="n">
        <f aca="false">SUMPRODUCT(固有振動数!$Q$6:$Q$22*(1-($A439/固有振動数!$O$6:$O$22)^2)/((1-($A439/固有振動数!$O$6:$O$22)^2)^2+固有振動数!$P$6:$P$22^2))</f>
        <v>-0.626087833945486</v>
      </c>
      <c r="C439" s="20" t="n">
        <f aca="false">-SUMPRODUCT(固有振動数!$Q$6:$Q$22*固有振動数!$P$6:$P$22/((1-($A439/固有振動数!$O$6:$O$22)^2)^2+固有振動数!$P$6:$P$22^2))</f>
        <v>-0.027192578490418</v>
      </c>
      <c r="D439" s="20" t="n">
        <f aca="false">SQRT(B439^2+C439^2)</f>
        <v>0.626678076957785</v>
      </c>
      <c r="E439" s="32" t="n">
        <f aca="false">20*LOG10(MAX(D439,0.000000000001)/$K$3)</f>
        <v>-4.05910995865084</v>
      </c>
    </row>
    <row r="440" customFormat="false" ht="15" hidden="false" customHeight="false" outlineLevel="0" collapsed="false">
      <c r="A440" s="13" t="n">
        <f aca="false">A439+$F$3</f>
        <v>17360</v>
      </c>
      <c r="B440" s="20" t="n">
        <f aca="false">SUMPRODUCT(固有振動数!$Q$6:$Q$22*(1-($A440/固有振動数!$O$6:$O$22)^2)/((1-($A440/固有振動数!$O$6:$O$22)^2)^2+固有振動数!$P$6:$P$22^2))</f>
        <v>-0.0225901639169926</v>
      </c>
      <c r="C440" s="20" t="n">
        <f aca="false">-SUMPRODUCT(固有振動数!$Q$6:$Q$22*固有振動数!$P$6:$P$22/((1-($A440/固有振動数!$O$6:$O$22)^2)^2+固有振動数!$P$6:$P$22^2))</f>
        <v>-0.0250577506379478</v>
      </c>
      <c r="D440" s="20" t="n">
        <f aca="false">SQRT(B440^2+C440^2)</f>
        <v>0.0337373142503989</v>
      </c>
      <c r="E440" s="32" t="n">
        <f aca="false">20*LOG10(MAX(D440,0.000000000001)/$K$3)</f>
        <v>-29.4377898710124</v>
      </c>
    </row>
    <row r="441" customFormat="false" ht="15" hidden="false" customHeight="false" outlineLevel="0" collapsed="false">
      <c r="A441" s="13" t="n">
        <f aca="false">A440+$F$3</f>
        <v>17400</v>
      </c>
      <c r="B441" s="20" t="n">
        <f aca="false">SUMPRODUCT(固有振動数!$Q$6:$Q$22*(1-($A441/固有振動数!$O$6:$O$22)^2)/((1-($A441/固有振動数!$O$6:$O$22)^2)^2+固有振動数!$P$6:$P$22^2))</f>
        <v>0.531318137879017</v>
      </c>
      <c r="C441" s="20" t="n">
        <f aca="false">-SUMPRODUCT(固有振動数!$Q$6:$Q$22*固有振動数!$P$6:$P$22/((1-($A441/固有振動数!$O$6:$O$22)^2)^2+固有振動数!$P$6:$P$22^2))</f>
        <v>-0.0232252879411645</v>
      </c>
      <c r="D441" s="20" t="n">
        <f aca="false">SQRT(B441^2+C441^2)</f>
        <v>0.53182551427999</v>
      </c>
      <c r="E441" s="32" t="n">
        <f aca="false">20*LOG10(MAX(D441,0.000000000001)/$K$3)</f>
        <v>-5.48461662533886</v>
      </c>
    </row>
    <row r="442" customFormat="false" ht="15" hidden="false" customHeight="false" outlineLevel="0" collapsed="false">
      <c r="A442" s="13" t="n">
        <f aca="false">A441+$F$3</f>
        <v>17440</v>
      </c>
      <c r="B442" s="20" t="n">
        <f aca="false">SUMPRODUCT(固有振動数!$Q$6:$Q$22*(1-($A442/固有振動数!$O$6:$O$22)^2)/((1-($A442/固有振動数!$O$6:$O$22)^2)^2+固有振動数!$P$6:$P$22^2))</f>
        <v>1.04238533636517</v>
      </c>
      <c r="C442" s="20" t="n">
        <f aca="false">-SUMPRODUCT(固有振動数!$Q$6:$Q$22*固有振動数!$P$6:$P$22/((1-($A442/固有振動数!$O$6:$O$22)^2)^2+固有振動数!$P$6:$P$22^2))</f>
        <v>-0.0216420908927343</v>
      </c>
      <c r="D442" s="20" t="n">
        <f aca="false">SQRT(B442^2+C442^2)</f>
        <v>1.04260997960279</v>
      </c>
      <c r="E442" s="32" t="n">
        <f aca="false">20*LOG10(MAX(D442,0.000000000001)/$K$3)</f>
        <v>0.362437551388058</v>
      </c>
    </row>
    <row r="443" customFormat="false" ht="15" hidden="false" customHeight="false" outlineLevel="0" collapsed="false">
      <c r="A443" s="13" t="n">
        <f aca="false">A442+$F$3</f>
        <v>17480</v>
      </c>
      <c r="B443" s="20" t="n">
        <f aca="false">SUMPRODUCT(固有振動数!$Q$6:$Q$22*(1-($A443/固有振動数!$O$6:$O$22)^2)/((1-($A443/固有振動数!$O$6:$O$22)^2)^2+固有振動数!$P$6:$P$22^2))</f>
        <v>1.51620296855823</v>
      </c>
      <c r="C443" s="20" t="n">
        <f aca="false">-SUMPRODUCT(固有振動数!$Q$6:$Q$22*固有振動数!$P$6:$P$22/((1-($A443/固有振動数!$O$6:$O$22)^2)^2+固有振動数!$P$6:$P$22^2))</f>
        <v>-0.0202662561458051</v>
      </c>
      <c r="D443" s="20" t="n">
        <f aca="false">SQRT(B443^2+C443^2)</f>
        <v>1.51633840649208</v>
      </c>
      <c r="E443" s="32" t="n">
        <f aca="false">20*LOG10(MAX(D443,0.000000000001)/$K$3)</f>
        <v>3.61592270232234</v>
      </c>
    </row>
    <row r="444" customFormat="false" ht="15" hidden="false" customHeight="false" outlineLevel="0" collapsed="false">
      <c r="A444" s="13" t="n">
        <f aca="false">A443+$F$3</f>
        <v>17520</v>
      </c>
      <c r="B444" s="20" t="n">
        <f aca="false">SUMPRODUCT(固有振動数!$Q$6:$Q$22*(1-($A444/固有振動数!$O$6:$O$22)^2)/((1-($A444/固有振動数!$O$6:$O$22)^2)^2+固有振動数!$P$6:$P$22^2))</f>
        <v>1.95744435480307</v>
      </c>
      <c r="C444" s="20" t="n">
        <f aca="false">-SUMPRODUCT(固有振動数!$Q$6:$Q$22*固有振動数!$P$6:$P$22/((1-($A444/固有振動数!$O$6:$O$22)^2)^2+固有振動数!$P$6:$P$22^2))</f>
        <v>-0.0190643620773655</v>
      </c>
      <c r="D444" s="20" t="n">
        <f aca="false">SQRT(B444^2+C444^2)</f>
        <v>1.95753719046454</v>
      </c>
      <c r="E444" s="32" t="n">
        <f aca="false">20*LOG10(MAX(D444,0.000000000001)/$K$3)</f>
        <v>5.83420043590333</v>
      </c>
    </row>
    <row r="445" customFormat="false" ht="15" hidden="false" customHeight="false" outlineLevel="0" collapsed="false">
      <c r="A445" s="13" t="n">
        <f aca="false">A444+$F$3</f>
        <v>17560</v>
      </c>
      <c r="B445" s="20" t="n">
        <f aca="false">SUMPRODUCT(固有振動数!$Q$6:$Q$22*(1-($A445/固有振動数!$O$6:$O$22)^2)/((1-($A445/固有振動数!$O$6:$O$22)^2)^2+固有振動数!$P$6:$P$22^2))</f>
        <v>2.37004645489914</v>
      </c>
      <c r="C445" s="20" t="n">
        <f aca="false">-SUMPRODUCT(固有振動数!$Q$6:$Q$22*固有振動数!$P$6:$P$22/((1-($A445/固有振動数!$O$6:$O$22)^2)^2+固有振動数!$P$6:$P$22^2))</f>
        <v>-0.0180094920428043</v>
      </c>
      <c r="D445" s="20" t="n">
        <f aca="false">SQRT(B445^2+C445^2)</f>
        <v>2.37011487911106</v>
      </c>
      <c r="E445" s="32" t="n">
        <f aca="false">20*LOG10(MAX(D445,0.000000000001)/$K$3)</f>
        <v>7.49538793416735</v>
      </c>
    </row>
    <row r="446" customFormat="false" ht="15" hidden="false" customHeight="false" outlineLevel="0" collapsed="false">
      <c r="A446" s="13" t="n">
        <f aca="false">A445+$F$3</f>
        <v>17600</v>
      </c>
      <c r="B446" s="20" t="n">
        <f aca="false">SUMPRODUCT(固有振動数!$Q$6:$Q$22*(1-($A446/固有振動数!$O$6:$O$22)^2)/((1-($A446/固有振動数!$O$6:$O$22)^2)^2+固有振動数!$P$6:$P$22^2))</f>
        <v>2.7573501736312</v>
      </c>
      <c r="C446" s="20" t="n">
        <f aca="false">-SUMPRODUCT(固有振動数!$Q$6:$Q$22*固有振動数!$P$6:$P$22/((1-($A446/固有振動数!$O$6:$O$22)^2)^2+固有振動数!$P$6:$P$22^2))</f>
        <v>-0.0170797748471953</v>
      </c>
      <c r="D446" s="20" t="n">
        <f aca="false">SQRT(B446^2+C446^2)</f>
        <v>2.75740307150276</v>
      </c>
      <c r="E446" s="32" t="n">
        <f aca="false">20*LOG10(MAX(D446,0.000000000001)/$K$3)</f>
        <v>8.81000510038523</v>
      </c>
    </row>
    <row r="447" customFormat="false" ht="15" hidden="false" customHeight="false" outlineLevel="0" collapsed="false">
      <c r="A447" s="13" t="n">
        <f aca="false">A446+$F$3</f>
        <v>17640</v>
      </c>
      <c r="B447" s="20" t="n">
        <f aca="false">SUMPRODUCT(固有振動数!$Q$6:$Q$22*(1-($A447/固有振動数!$O$6:$O$22)^2)/((1-($A447/固有振動数!$O$6:$O$22)^2)^2+固有振動数!$P$6:$P$22^2))</f>
        <v>3.12220978695162</v>
      </c>
      <c r="C447" s="20" t="n">
        <f aca="false">-SUMPRODUCT(固有振動数!$Q$6:$Q$22*固有振動数!$P$6:$P$22/((1-($A447/固有振動数!$O$6:$O$22)^2)^2+固有振動数!$P$6:$P$22^2))</f>
        <v>-0.0162572934011073</v>
      </c>
      <c r="D447" s="20" t="n">
        <f aca="false">SQRT(B447^2+C447^2)</f>
        <v>3.12225211239022</v>
      </c>
      <c r="E447" s="32" t="n">
        <f aca="false">20*LOG10(MAX(D447,0.000000000001)/$K$3)</f>
        <v>9.88935936209517</v>
      </c>
    </row>
    <row r="448" customFormat="false" ht="15" hidden="false" customHeight="false" outlineLevel="0" collapsed="false">
      <c r="A448" s="13" t="n">
        <f aca="false">A447+$F$3</f>
        <v>17680</v>
      </c>
      <c r="B448" s="20" t="n">
        <f aca="false">SUMPRODUCT(固有振動数!$Q$6:$Q$22*(1-($A448/固有振動数!$O$6:$O$22)^2)/((1-($A448/固有振動数!$O$6:$O$22)^2)^2+固有振動数!$P$6:$P$22^2))</f>
        <v>3.46707913883129</v>
      </c>
      <c r="C448" s="20" t="n">
        <f aca="false">-SUMPRODUCT(固有振動数!$Q$6:$Q$22*固有振動数!$P$6:$P$22/((1-($A448/固有振動数!$O$6:$O$22)^2)^2+固有振動数!$P$6:$P$22^2))</f>
        <v>-0.0155272591477752</v>
      </c>
      <c r="D448" s="20" t="n">
        <f aca="false">SQRT(B448^2+C448^2)</f>
        <v>3.46711390794934</v>
      </c>
      <c r="E448" s="32" t="n">
        <f aca="false">20*LOG10(MAX(D448,0.000000000001)/$K$3)</f>
        <v>10.7993622025032</v>
      </c>
    </row>
    <row r="449" customFormat="false" ht="15" hidden="false" customHeight="false" outlineLevel="0" collapsed="false">
      <c r="A449" s="13" t="n">
        <f aca="false">A448+$F$3</f>
        <v>17720</v>
      </c>
      <c r="B449" s="20" t="n">
        <f aca="false">SUMPRODUCT(固有振動数!$Q$6:$Q$22*(1-($A449/固有振動数!$O$6:$O$22)^2)/((1-($A449/固有振動数!$O$6:$O$22)^2)^2+固有振動数!$P$6:$P$22^2))</f>
        <v>3.79408016697216</v>
      </c>
      <c r="C449" s="20" t="n">
        <f aca="false">-SUMPRODUCT(固有振動数!$Q$6:$Q$22*固有振動数!$P$6:$P$22/((1-($A449/固有振動数!$O$6:$O$22)^2)^2+固有振動数!$P$6:$P$22^2))</f>
        <v>-0.0148773808116766</v>
      </c>
      <c r="D449" s="20" t="n">
        <f aca="false">SQRT(B449^2+C449^2)</f>
        <v>3.79410933551885</v>
      </c>
      <c r="E449" s="32" t="n">
        <f aca="false">20*LOG10(MAX(D449,0.000000000001)/$K$3)</f>
        <v>11.5821968374753</v>
      </c>
    </row>
    <row r="450" customFormat="false" ht="15" hidden="false" customHeight="false" outlineLevel="0" collapsed="false">
      <c r="A450" s="13" t="n">
        <f aca="false">A449+$F$3</f>
        <v>17760</v>
      </c>
      <c r="B450" s="20" t="n">
        <f aca="false">SUMPRODUCT(固有振動数!$Q$6:$Q$22*(1-($A450/固有振動数!$O$6:$O$22)^2)/((1-($A450/固有振動数!$O$6:$O$22)^2)^2+固有振動数!$P$6:$P$22^2))</f>
        <v>4.1050578459741</v>
      </c>
      <c r="C450" s="20" t="n">
        <f aca="false">-SUMPRODUCT(固有振動数!$Q$6:$Q$22*固有振動数!$P$6:$P$22/((1-($A450/固有振動数!$O$6:$O$22)^2)^2+固有振動数!$P$6:$P$22^2))</f>
        <v>-0.0142973769204856</v>
      </c>
      <c r="D450" s="20" t="n">
        <f aca="false">SQRT(B450^2+C450^2)</f>
        <v>4.1050827438409</v>
      </c>
      <c r="E450" s="32" t="n">
        <f aca="false">20*LOG10(MAX(D450,0.000000000001)/$K$3)</f>
        <v>12.2664383074592</v>
      </c>
    </row>
    <row r="451" customFormat="false" ht="15" hidden="false" customHeight="false" outlineLevel="0" collapsed="false">
      <c r="A451" s="13" t="n">
        <f aca="false">A450+$F$3</f>
        <v>17800</v>
      </c>
      <c r="B451" s="20" t="n">
        <f aca="false">SUMPRODUCT(固有振動数!$Q$6:$Q$22*(1-($A451/固有振動数!$O$6:$O$22)^2)/((1-($A451/固有振動数!$O$6:$O$22)^2)^2+固有振動数!$P$6:$P$22^2))</f>
        <v>4.40162459011045</v>
      </c>
      <c r="C451" s="20" t="n">
        <f aca="false">-SUMPRODUCT(固有振動数!$Q$6:$Q$22*固有振動数!$P$6:$P$22/((1-($A451/固有振動数!$O$6:$O$22)^2)^2+固有振動数!$P$6:$P$22^2))</f>
        <v>-0.0137785958755326</v>
      </c>
      <c r="D451" s="20" t="n">
        <f aca="false">SQRT(B451^2+C451^2)</f>
        <v>4.40164615592499</v>
      </c>
      <c r="E451" s="32" t="n">
        <f aca="false">20*LOG10(MAX(D451,0.000000000001)/$K$3)</f>
        <v>12.8723025421482</v>
      </c>
    </row>
    <row r="452" customFormat="false" ht="15" hidden="false" customHeight="false" outlineLevel="0" collapsed="false">
      <c r="A452" s="13" t="n">
        <f aca="false">A451+$F$3</f>
        <v>17840</v>
      </c>
      <c r="B452" s="20" t="n">
        <f aca="false">SUMPRODUCT(固有振動数!$Q$6:$Q$22*(1-($A452/固有振動数!$O$6:$O$22)^2)/((1-($A452/固有振動数!$O$6:$O$22)^2)^2+固有振動数!$P$6:$P$22^2))</f>
        <v>4.68519640339661</v>
      </c>
      <c r="C452" s="20" t="n">
        <f aca="false">-SUMPRODUCT(固有振動数!$Q$6:$Q$22*固有振動数!$P$6:$P$22/((1-($A452/固有振動数!$O$6:$O$22)^2)^2+固有振動数!$P$6:$P$22^2))</f>
        <v>-0.0133137172981272</v>
      </c>
      <c r="D452" s="20" t="n">
        <f aca="false">SQRT(B452^2+C452^2)</f>
        <v>4.68521531986192</v>
      </c>
      <c r="E452" s="32" t="n">
        <f aca="false">20*LOG10(MAX(D452,0.000000000001)/$K$3)</f>
        <v>13.4145910937142</v>
      </c>
    </row>
    <row r="453" customFormat="false" ht="15" hidden="false" customHeight="false" outlineLevel="0" collapsed="false">
      <c r="A453" s="13" t="n">
        <f aca="false">A452+$F$3</f>
        <v>17880</v>
      </c>
      <c r="B453" s="20" t="n">
        <f aca="false">SUMPRODUCT(固有振動数!$Q$6:$Q$22*(1-($A453/固有振動数!$O$6:$O$22)^2)/((1-($A453/固有振動数!$O$6:$O$22)^2)^2+固有振動数!$P$6:$P$22^2))</f>
        <v>4.95702251434889</v>
      </c>
      <c r="C453" s="20" t="n">
        <f aca="false">-SUMPRODUCT(固有振動数!$Q$6:$Q$22*固有振動数!$P$6:$P$22/((1-($A453/固有振動数!$O$6:$O$22)^2)^2+固有振動数!$P$6:$P$22^2))</f>
        <v>-0.0128965153839458</v>
      </c>
      <c r="D453" s="20" t="n">
        <f aca="false">SQRT(B453^2+C453^2)</f>
        <v>4.95703929053128</v>
      </c>
      <c r="E453" s="32" t="n">
        <f aca="false">20*LOG10(MAX(D453,0.000000000001)/$K$3)</f>
        <v>13.9044472245557</v>
      </c>
    </row>
    <row r="454" customFormat="false" ht="15" hidden="false" customHeight="false" outlineLevel="0" collapsed="false">
      <c r="A454" s="13" t="n">
        <f aca="false">A453+$F$3</f>
        <v>17920</v>
      </c>
      <c r="B454" s="20" t="n">
        <f aca="false">SUMPRODUCT(固有振動数!$Q$6:$Q$22*(1-($A454/固有振動数!$O$6:$O$22)^2)/((1-($A454/固有振動数!$O$6:$O$22)^2)^2+固有振動数!$P$6:$P$22^2))</f>
        <v>5.21820982711648</v>
      </c>
      <c r="C454" s="20" t="n">
        <f aca="false">-SUMPRODUCT(固有振動数!$Q$6:$Q$22*固有振動数!$P$6:$P$22/((1-($A454/固有振動数!$O$6:$O$22)^2)^2+固有振動数!$P$6:$P$22^2))</f>
        <v>-0.0125216699875529</v>
      </c>
      <c r="D454" s="20" t="n">
        <f aca="false">SQRT(B454^2+C454^2)</f>
        <v>5.21822485065892</v>
      </c>
      <c r="E454" s="32" t="n">
        <f aca="false">20*LOG10(MAX(D454,0.000000000001)/$K$3)</f>
        <v>14.3504557739215</v>
      </c>
    </row>
    <row r="455" customFormat="false" ht="15" hidden="false" customHeight="false" outlineLevel="0" collapsed="false">
      <c r="A455" s="13" t="n">
        <f aca="false">A454+$F$3</f>
        <v>17960</v>
      </c>
      <c r="B455" s="20" t="n">
        <f aca="false">SUMPRODUCT(固有振動数!$Q$6:$Q$22*(1-($A455/固有振動数!$O$6:$O$22)^2)/((1-($A455/固有振動数!$O$6:$O$22)^2)^2+固有振動数!$P$6:$P$22^2))</f>
        <v>5.46974321852601</v>
      </c>
      <c r="C455" s="20" t="n">
        <f aca="false">-SUMPRODUCT(固有振動数!$Q$6:$Q$22*固有振動数!$P$6:$P$22/((1-($A455/固有振動数!$O$6:$O$22)^2)^2+固有振動数!$P$6:$P$22^2))</f>
        <v>-0.0121846147536591</v>
      </c>
      <c r="D455" s="20" t="n">
        <f aca="false">SQRT(B455^2+C455^2)</f>
        <v>5.46975678997229</v>
      </c>
      <c r="E455" s="32" t="n">
        <f aca="false">20*LOG10(MAX(D455,0.000000000001)/$K$3)</f>
        <v>14.7593603214722</v>
      </c>
    </row>
    <row r="456" customFormat="false" ht="15" hidden="false" customHeight="false" outlineLevel="0" collapsed="false">
      <c r="A456" s="13" t="n">
        <f aca="false">A455+$F$3</f>
        <v>18000</v>
      </c>
      <c r="B456" s="20" t="n">
        <f aca="false">SUMPRODUCT(固有振動数!$Q$6:$Q$22*(1-($A456/固有振動数!$O$6:$O$22)^2)/((1-($A456/固有振動数!$O$6:$O$22)^2)^2+固有振動数!$P$6:$P$22^2))</f>
        <v>5.71250248343911</v>
      </c>
      <c r="C456" s="20" t="n">
        <f aca="false">-SUMPRODUCT(固有振動数!$Q$6:$Q$22*固有振動数!$P$6:$P$22/((1-($A456/固有振動数!$O$6:$O$22)^2)^2+固有振動数!$P$6:$P$22^2))</f>
        <v>-0.0118814142283793</v>
      </c>
      <c r="D456" s="20" t="n">
        <f aca="false">SQRT(B456^2+C456^2)</f>
        <v>5.712514839482</v>
      </c>
      <c r="E456" s="32" t="n">
        <f aca="false">20*LOG10(MAX(D456,0.000000000001)/$K$3)</f>
        <v>15.1365468250479</v>
      </c>
    </row>
    <row r="457" customFormat="false" ht="15" hidden="false" customHeight="false" outlineLevel="0" collapsed="false">
      <c r="A457" s="13" t="n">
        <f aca="false">A456+$F$3</f>
        <v>18040</v>
      </c>
      <c r="B457" s="20" t="n">
        <f aca="false">SUMPRODUCT(固有振動数!$Q$6:$Q$22*(1-($A457/固有振動数!$O$6:$O$22)^2)/((1-($A457/固有振動数!$O$6:$O$22)^2)^2+固有振動数!$P$6:$P$22^2))</f>
        <v>5.9472765585538</v>
      </c>
      <c r="C457" s="20" t="n">
        <f aca="false">-SUMPRODUCT(固有振動数!$Q$6:$Q$22*固有振動数!$P$6:$P$22/((1-($A457/固有振動数!$O$6:$O$22)^2)^2+固有振動数!$P$6:$P$22^2))</f>
        <v>-0.011608663807377</v>
      </c>
      <c r="D457" s="20" t="n">
        <f aca="false">SQRT(B457^2+C457^2)</f>
        <v>5.94728788818894</v>
      </c>
      <c r="E457" s="32" t="n">
        <f aca="false">20*LOG10(MAX(D457,0.000000000001)/$K$3)</f>
        <v>15.4863792348442</v>
      </c>
    </row>
    <row r="458" customFormat="false" ht="15" hidden="false" customHeight="false" outlineLevel="0" collapsed="false">
      <c r="A458" s="13" t="n">
        <f aca="false">A457+$F$3</f>
        <v>18080</v>
      </c>
      <c r="B458" s="20" t="n">
        <f aca="false">SUMPRODUCT(固有振動数!$Q$6:$Q$22*(1-($A458/固有振動数!$O$6:$O$22)^2)/((1-($A458/固有振動数!$O$6:$O$22)^2)^2+固有振動数!$P$6:$P$22^2))</f>
        <v>6.17477552304408</v>
      </c>
      <c r="C458" s="20" t="n">
        <f aca="false">-SUMPRODUCT(固有振動数!$Q$6:$Q$22*固有振動数!$P$6:$P$22/((1-($A458/固有振動数!$O$6:$O$22)^2)^2+固有振動数!$P$6:$P$22^2))</f>
        <v>-0.0113634078050341</v>
      </c>
      <c r="D458" s="20" t="n">
        <f aca="false">SQRT(B458^2+C458^2)</f>
        <v>6.17478597904585</v>
      </c>
      <c r="E458" s="32" t="n">
        <f aca="false">20*LOG10(MAX(D458,0.000000000001)/$K$3)</f>
        <v>15.8124381868764</v>
      </c>
    </row>
    <row r="459" customFormat="false" ht="15" hidden="false" customHeight="false" outlineLevel="0" collapsed="false">
      <c r="A459" s="13" t="n">
        <f aca="false">A458+$F$3</f>
        <v>18120</v>
      </c>
      <c r="B459" s="20" t="n">
        <f aca="false">SUMPRODUCT(固有振動数!$Q$6:$Q$22*(1-($A459/固有振動数!$O$6:$O$22)^2)/((1-($A459/固有振動数!$O$6:$O$22)^2)^2+固有振動数!$P$6:$P$22^2))</f>
        <v>6.3956407728968</v>
      </c>
      <c r="C459" s="20" t="n">
        <f aca="false">-SUMPRODUCT(固有振動数!$Q$6:$Q$22*固有振動数!$P$6:$P$22/((1-($A459/固有振動数!$O$6:$O$22)^2)^2+固有振動数!$P$6:$P$22^2))</f>
        <v>-0.0111430719969956</v>
      </c>
      <c r="D459" s="20" t="n">
        <f aca="false">SQRT(B459^2+C459^2)</f>
        <v>6.3956504801305</v>
      </c>
      <c r="E459" s="32" t="n">
        <f aca="false">20*LOG10(MAX(D459,0.000000000001)/$K$3)</f>
        <v>16.1176944338844</v>
      </c>
    </row>
    <row r="460" customFormat="false" ht="15" hidden="false" customHeight="false" outlineLevel="0" collapsed="false">
      <c r="A460" s="13" t="n">
        <f aca="false">A459+$F$3</f>
        <v>18160</v>
      </c>
      <c r="B460" s="20" t="n">
        <f aca="false">SUMPRODUCT(固有振動数!$Q$6:$Q$22*(1-($A460/固有振動数!$O$6:$O$22)^2)/((1-($A460/固有振動数!$O$6:$O$22)^2)^2+固有振動数!$P$6:$P$22^2))</f>
        <v>6.61045368697512</v>
      </c>
      <c r="C460" s="20" t="n">
        <f aca="false">-SUMPRODUCT(固有振動数!$Q$6:$Q$22*固有振動数!$P$6:$P$22/((1-($A460/固有振動数!$O$6:$O$22)^2)^2+固有振動数!$P$6:$P$22^2))</f>
        <v>-0.0109454077945143</v>
      </c>
      <c r="D460" s="20" t="n">
        <f aca="false">SQRT(B460^2+C460^2)</f>
        <v>6.61046274852182</v>
      </c>
      <c r="E460" s="32" t="n">
        <f aca="false">20*LOG10(MAX(D460,0.000000000001)/$K$3)</f>
        <v>16.4046372444638</v>
      </c>
    </row>
    <row r="461" customFormat="false" ht="15" hidden="false" customHeight="false" outlineLevel="0" collapsed="false">
      <c r="A461" s="13" t="n">
        <f aca="false">A460+$F$3</f>
        <v>18200</v>
      </c>
      <c r="B461" s="20" t="n">
        <f aca="false">SUMPRODUCT(固有振動数!$Q$6:$Q$22*(1-($A461/固有振動数!$O$6:$O$22)^2)/((1-($A461/固有振動数!$O$6:$O$22)^2)^2+固有振動数!$P$6:$P$22^2))</f>
        <v>6.81974304120545</v>
      </c>
      <c r="C461" s="20" t="n">
        <f aca="false">-SUMPRODUCT(固有振動数!$Q$6:$Q$22*固有振動数!$P$6:$P$22/((1-($A461/固有振動数!$O$6:$O$22)^2)^2+固有振動数!$P$6:$P$22^2))</f>
        <v>-0.0107684458220157</v>
      </c>
      <c r="D461" s="20" t="n">
        <f aca="false">SQRT(B461^2+C461^2)</f>
        <v>6.81975154294463</v>
      </c>
      <c r="E461" s="32" t="n">
        <f aca="false">20*LOG10(MAX(D461,0.000000000001)/$K$3)</f>
        <v>16.6753710547317</v>
      </c>
    </row>
    <row r="462" customFormat="false" ht="15" hidden="false" customHeight="false" outlineLevel="0" collapsed="false">
      <c r="A462" s="13" t="n">
        <f aca="false">A461+$F$3</f>
        <v>18240</v>
      </c>
      <c r="B462" s="20" t="n">
        <f aca="false">SUMPRODUCT(固有振動数!$Q$6:$Q$22*(1-($A462/固有振動数!$O$6:$O$22)^2)/((1-($A462/固有振動数!$O$6:$O$22)^2)^2+固有振動数!$P$6:$P$22^2))</f>
        <v>7.02399137878407</v>
      </c>
      <c r="C462" s="20" t="n">
        <f aca="false">-SUMPRODUCT(固有振動数!$Q$6:$Q$22*固有振動数!$P$6:$P$22/((1-($A462/固有振動数!$O$6:$O$22)^2)^2+固有振動数!$P$6:$P$22^2))</f>
        <v>-0.0106104571388961</v>
      </c>
      <c r="D462" s="20" t="n">
        <f aca="false">SQRT(B462^2+C462^2)</f>
        <v>7.02399939286968</v>
      </c>
      <c r="E462" s="32" t="n">
        <f aca="false">20*LOG10(MAX(D462,0.000000000001)/$K$3)</f>
        <v>16.9316893071826</v>
      </c>
    </row>
    <row r="463" customFormat="false" ht="15" hidden="false" customHeight="false" outlineLevel="0" collapsed="false">
      <c r="A463" s="13" t="n">
        <f aca="false">A462+$F$3</f>
        <v>18280</v>
      </c>
      <c r="B463" s="20" t="n">
        <f aca="false">SUMPRODUCT(固有振動数!$Q$6:$Q$22*(1-($A463/固有振動数!$O$6:$O$22)^2)/((1-($A463/固有振動数!$O$6:$O$22)^2)^2+固有振動数!$P$6:$P$22^2))</f>
        <v>7.22364050589164</v>
      </c>
      <c r="C463" s="20" t="n">
        <f aca="false">-SUMPRODUCT(固有振動数!$Q$6:$Q$22*固有振動数!$P$6:$P$22/((1-($A463/固有振動数!$O$6:$O$22)^2)^2+固有振動数!$P$6:$P$22^2))</f>
        <v>-0.0104699207088213</v>
      </c>
      <c r="D463" s="20" t="n">
        <f aca="false">SQRT(B463^2+C463^2)</f>
        <v>7.22364809342191</v>
      </c>
      <c r="E463" s="32" t="n">
        <f aca="false">20*LOG10(MAX(D463,0.000000000001)/$K$3)</f>
        <v>17.1751316154124</v>
      </c>
    </row>
    <row r="464" customFormat="false" ht="15" hidden="false" customHeight="false" outlineLevel="0" collapsed="false">
      <c r="A464" s="13" t="n">
        <f aca="false">A463+$F$3</f>
        <v>18320</v>
      </c>
      <c r="B464" s="20" t="n">
        <f aca="false">SUMPRODUCT(固有振動数!$Q$6:$Q$22*(1-($A464/固有振動数!$O$6:$O$22)^2)/((1-($A464/固有振動数!$O$6:$O$22)^2)^2+固有振動数!$P$6:$P$22^2))</f>
        <v>7.41909625181226</v>
      </c>
      <c r="C464" s="20" t="n">
        <f aca="false">-SUMPRODUCT(固有振動数!$Q$6:$Q$22*固有振動数!$P$6:$P$22/((1-($A464/固有振動数!$O$6:$O$22)^2)^2+固有振動数!$P$6:$P$22^2))</f>
        <v>-0.0103454960010918</v>
      </c>
      <c r="D464" s="20" t="n">
        <f aca="false">SQRT(B464^2+C464^2)</f>
        <v>7.41910346490344</v>
      </c>
      <c r="E464" s="32" t="n">
        <f aca="false">20*LOG10(MAX(D464,0.000000000001)/$K$3)</f>
        <v>17.4070285536405</v>
      </c>
    </row>
    <row r="465" customFormat="false" ht="15" hidden="false" customHeight="false" outlineLevel="0" collapsed="false">
      <c r="A465" s="13" t="n">
        <f aca="false">A464+$F$3</f>
        <v>18360</v>
      </c>
      <c r="B465" s="20" t="n">
        <f aca="false">SUMPRODUCT(固有振動数!$Q$6:$Q$22*(1-($A465/固有振動数!$O$6:$O$22)^2)/((1-($A465/固有振動数!$O$6:$O$22)^2)^2+固有振動数!$P$6:$P$22^2))</f>
        <v>7.61073260784745</v>
      </c>
      <c r="C465" s="20" t="n">
        <f aca="false">-SUMPRODUCT(固有振動数!$Q$6:$Q$22*固有振動数!$P$6:$P$22/((1-($A465/固有振動数!$O$6:$O$22)^2)^2+固有振動数!$P$6:$P$22^2))</f>
        <v>-0.0102359998284524</v>
      </c>
      <c r="D465" s="20" t="n">
        <f aca="false">SQRT(B465^2+C465^2)</f>
        <v>7.61073949126134</v>
      </c>
      <c r="E465" s="32" t="n">
        <f aca="false">20*LOG10(MAX(D465,0.000000000001)/$K$3)</f>
        <v>17.628537133759</v>
      </c>
    </row>
    <row r="466" customFormat="false" ht="15" hidden="false" customHeight="false" outlineLevel="0" collapsed="false">
      <c r="A466" s="13" t="n">
        <f aca="false">A465+$F$3</f>
        <v>18400</v>
      </c>
      <c r="B466" s="20" t="n">
        <f aca="false">SUMPRODUCT(固有振動数!$Q$6:$Q$22*(1-($A466/固有振動数!$O$6:$O$22)^2)/((1-($A466/固有振動数!$O$6:$O$22)^2)^2+固有振動数!$P$6:$P$22^2))</f>
        <v>7.79889533968384</v>
      </c>
      <c r="C466" s="20" t="n">
        <f aca="false">-SUMPRODUCT(固有振動数!$Q$6:$Q$22*固有振動数!$P$6:$P$22/((1-($A466/固有振動数!$O$6:$O$22)^2)^2+固有振動数!$P$6:$P$22^2))</f>
        <v>-0.0101403866985241</v>
      </c>
      <c r="D466" s="20" t="n">
        <f aca="false">SQRT(B466^2+C466^2)</f>
        <v>7.79890193211741</v>
      </c>
      <c r="E466" s="32" t="n">
        <f aca="false">20*LOG10(MAX(D466,0.000000000001)/$K$3)</f>
        <v>17.8406691861359</v>
      </c>
    </row>
    <row r="467" customFormat="false" ht="15" hidden="false" customHeight="false" outlineLevel="0" collapsed="false">
      <c r="A467" s="13" t="n">
        <f aca="false">A466+$F$3</f>
        <v>18440</v>
      </c>
      <c r="B467" s="20" t="n">
        <f aca="false">SUMPRODUCT(固有振動数!$Q$6:$Q$22*(1-($A467/固有振動数!$O$6:$O$22)^2)/((1-($A467/固有振動数!$O$6:$O$22)^2)^2+固有振動数!$P$6:$P$22^2))</f>
        <v>7.98390515190233</v>
      </c>
      <c r="C467" s="20" t="n">
        <f aca="false">-SUMPRODUCT(固有振動数!$Q$6:$Q$22*固有振動数!$P$6:$P$22/((1-($A467/固有振動数!$O$6:$O$22)^2)^2+固有振動数!$P$6:$P$22^2))</f>
        <v>-0.0100577320926586</v>
      </c>
      <c r="D467" s="20" t="n">
        <f aca="false">SQRT(B467^2+C467^2)</f>
        <v>7.98391148701859</v>
      </c>
      <c r="E467" s="32" t="n">
        <f aca="false">20*LOG10(MAX(D467,0.000000000001)/$K$3)</f>
        <v>18.0443142707153</v>
      </c>
    </row>
    <row r="468" customFormat="false" ht="15" hidden="false" customHeight="false" outlineLevel="0" collapsed="false">
      <c r="A468" s="13" t="n">
        <f aca="false">A467+$F$3</f>
        <v>18480</v>
      </c>
      <c r="B468" s="20" t="n">
        <f aca="false">SUMPRODUCT(固有振動数!$Q$6:$Q$22*(1-($A468/固有振動数!$O$6:$O$22)^2)/((1-($A468/固有振動数!$O$6:$O$22)^2)^2+固有振動数!$P$6:$P$22^2))</f>
        <v>8.16606047033068</v>
      </c>
      <c r="C468" s="20" t="n">
        <f aca="false">-SUMPRODUCT(固有振動数!$Q$6:$Q$22*固有振動数!$P$6:$P$22/((1-($A468/固有振動数!$O$6:$O$22)^2)^2+固有振動数!$P$6:$P$22^2))</f>
        <v>-0.00998721819462688</v>
      </c>
      <c r="D468" s="20" t="n">
        <f aca="false">SQRT(B468^2+C468^2)</f>
        <v>8.16606657758952</v>
      </c>
      <c r="E468" s="32" t="n">
        <f aca="false">20*LOG10(MAX(D468,0.000000000001)/$K$3)</f>
        <v>18.2402583277128</v>
      </c>
    </row>
    <row r="469" customFormat="false" ht="15" hidden="false" customHeight="false" outlineLevel="0" collapsed="false">
      <c r="A469" s="13" t="n">
        <f aca="false">A468+$F$3</f>
        <v>18520</v>
      </c>
      <c r="B469" s="20" t="n">
        <f aca="false">SUMPRODUCT(固有振動数!$Q$6:$Q$22*(1-($A469/固有振動数!$O$6:$O$22)^2)/((1-($A469/固有振動数!$O$6:$O$22)^2)^2+固有振動数!$P$6:$P$22^2))</f>
        <v>8.34563989733285</v>
      </c>
      <c r="C469" s="20" t="n">
        <f aca="false">-SUMPRODUCT(固有振動数!$Q$6:$Q$22*固有振動数!$P$6:$P$22/((1-($A469/固有振動数!$O$6:$O$22)^2)^2+固有振動数!$P$6:$P$22^2))</f>
        <v>-0.00992812167835105</v>
      </c>
      <c r="D469" s="20" t="n">
        <f aca="false">SQRT(B469^2+C469^2)</f>
        <v>8.34564580266584</v>
      </c>
      <c r="E469" s="32" t="n">
        <f aca="false">20*LOG10(MAX(D469,0.000000000001)/$K$3)</f>
        <v>18.4291989777224</v>
      </c>
    </row>
    <row r="470" customFormat="false" ht="15" hidden="false" customHeight="false" outlineLevel="0" collapsed="false">
      <c r="A470" s="13" t="n">
        <f aca="false">A469+$F$3</f>
        <v>18560</v>
      </c>
      <c r="B470" s="20" t="n">
        <f aca="false">SUMPRODUCT(固有振動数!$Q$6:$Q$22*(1-($A470/固有振動数!$O$6:$O$22)^2)/((1-($A470/固有振動数!$O$6:$O$22)^2)^2+固有振動数!$P$6:$P$22^2))</f>
        <v>8.52290438642585</v>
      </c>
      <c r="C470" s="20" t="n">
        <f aca="false">-SUMPRODUCT(固有振動数!$Q$6:$Q$22*固有振動数!$P$6:$P$22/((1-($A470/固有振動数!$O$6:$O$22)^2)^2+固有振動数!$P$6:$P$22^2))</f>
        <v>-0.00987980323361452</v>
      </c>
      <c r="D470" s="20" t="n">
        <f aca="false">SQRT(B470^2+C470^2)</f>
        <v>8.5229101127883</v>
      </c>
      <c r="E470" s="32" t="n">
        <f aca="false">20*LOG10(MAX(D470,0.000000000001)/$K$3)</f>
        <v>18.6117581632533</v>
      </c>
    </row>
    <row r="471" customFormat="false" ht="15" hidden="false" customHeight="false" outlineLevel="0" collapsed="false">
      <c r="A471" s="13" t="n">
        <f aca="false">A470+$F$3</f>
        <v>18600</v>
      </c>
      <c r="B471" s="20" t="n">
        <f aca="false">SUMPRODUCT(固有振動数!$Q$6:$Q$22*(1-($A471/固有振動数!$O$6:$O$22)^2)/((1-($A471/固有振動数!$O$6:$O$22)^2)^2+固有振動数!$P$6:$P$22^2))</f>
        <v>8.69809917544743</v>
      </c>
      <c r="C471" s="20" t="n">
        <f aca="false">-SUMPRODUCT(固有振動数!$Q$6:$Q$22*固有振動数!$P$6:$P$22/((1-($A471/固有振動数!$O$6:$O$22)^2)^2+固有振動数!$P$6:$P$22^2))</f>
        <v>-0.00984169856495916</v>
      </c>
      <c r="D471" s="20" t="n">
        <f aca="false">SQRT(B471^2+C471^2)</f>
        <v>8.6981047432731</v>
      </c>
      <c r="E471" s="32" t="n">
        <f aca="false">20*LOG10(MAX(D471,0.000000000001)/$K$3)</f>
        <v>18.7884926633939</v>
      </c>
    </row>
    <row r="472" customFormat="false" ht="15" hidden="false" customHeight="false" outlineLevel="0" collapsed="false">
      <c r="A472" s="13" t="n">
        <f aca="false">A471+$F$3</f>
        <v>18640</v>
      </c>
      <c r="B472" s="20" t="n">
        <f aca="false">SUMPRODUCT(固有振動数!$Q$6:$Q$22*(1-($A472/固有振動数!$O$6:$O$22)^2)/((1-($A472/固有振動数!$O$6:$O$22)^2)^2+固有振動数!$P$6:$P$22^2))</f>
        <v>8.87145551157064</v>
      </c>
      <c r="C472" s="20" t="n">
        <f aca="false">-SUMPRODUCT(固有振動数!$Q$6:$Q$22*固有振動数!$P$6:$P$22/((1-($A472/固有振動数!$O$6:$O$22)^2)^2+固有振動数!$P$6:$P$22^2))</f>
        <v>-0.0098133106446269</v>
      </c>
      <c r="D472" s="20" t="n">
        <f aca="false">SQRT(B472^2+C472^2)</f>
        <v>8.8714609391488</v>
      </c>
      <c r="E472" s="32" t="n">
        <f aca="false">20*LOG10(MAX(D472,0.000000000001)/$K$3)</f>
        <v>18.9599028939635</v>
      </c>
    </row>
    <row r="473" customFormat="false" ht="15" hidden="false" customHeight="false" outlineLevel="0" collapsed="false">
      <c r="A473" s="13" t="n">
        <f aca="false">A472+$F$3</f>
        <v>18680</v>
      </c>
      <c r="B473" s="20" t="n">
        <f aca="false">SUMPRODUCT(固有振動数!$Q$6:$Q$22*(1-($A473/固有振動数!$O$6:$O$22)^2)/((1-($A473/固有振動数!$O$6:$O$22)^2)^2+固有振動数!$P$6:$P$22^2))</f>
        <v>9.04319219654529</v>
      </c>
      <c r="C473" s="20" t="n">
        <f aca="false">-SUMPRODUCT(固有振動数!$Q$6:$Q$22*固有振動数!$P$6:$P$22/((1-($A473/固有振動数!$O$6:$O$22)^2)^2+固有振動数!$P$6:$P$22^2))</f>
        <v>-0.00979420303759464</v>
      </c>
      <c r="D473" s="20" t="n">
        <f aca="false">SQRT(B473^2+C473^2)</f>
        <v>9.04319750033531</v>
      </c>
      <c r="E473" s="32" t="n">
        <f aca="false">20*LOG10(MAX(D473,0.000000000001)/$K$3)</f>
        <v>19.1264403157494</v>
      </c>
    </row>
    <row r="474" customFormat="false" ht="15" hidden="false" customHeight="false" outlineLevel="0" collapsed="false">
      <c r="A474" s="13" t="n">
        <f aca="false">A473+$F$3</f>
        <v>18720</v>
      </c>
      <c r="B474" s="20" t="n">
        <f aca="false">SUMPRODUCT(固有振動数!$Q$6:$Q$22*(1-($A474/固有振動数!$O$6:$O$22)^2)/((1-($A474/固有振動数!$O$6:$O$22)^2)^2+固有振動数!$P$6:$P$22^2))</f>
        <v>9.21351697645215</v>
      </c>
      <c r="C474" s="20" t="n">
        <f aca="false">-SUMPRODUCT(固有振動数!$Q$6:$Q$22*固有振動数!$P$6:$P$22/((1-($A474/固有振動数!$O$6:$O$22)^2)^2+固有振動数!$P$6:$P$22^2))</f>
        <v>-0.00978399414719978</v>
      </c>
      <c r="D474" s="20" t="n">
        <f aca="false">SQRT(B474^2+C474^2)</f>
        <v>9.21352217134758</v>
      </c>
      <c r="E474" s="32" t="n">
        <f aca="false">20*LOG10(MAX(D474,0.000000000001)/$K$3)</f>
        <v>19.288513705266</v>
      </c>
    </row>
    <row r="475" customFormat="false" ht="15" hidden="false" customHeight="false" outlineLevel="0" collapsed="false">
      <c r="A475" s="13" t="n">
        <f aca="false">A474+$F$3</f>
        <v>18760</v>
      </c>
      <c r="B475" s="20" t="n">
        <f aca="false">SUMPRODUCT(固有振動数!$Q$6:$Q$22*(1-($A475/固有振動数!$O$6:$O$22)^2)/((1-($A475/固有振動数!$O$6:$O$22)^2)^2+固有振動数!$P$6:$P$22^2))</f>
        <v>9.38262779683985</v>
      </c>
      <c r="C475" s="20" t="n">
        <f aca="false">-SUMPRODUCT(固有振動数!$Q$6:$Q$22*固有振動数!$P$6:$P$22/((1-($A475/固有振動数!$O$6:$O$22)^2)^2+固有振動数!$P$6:$P$22^2))</f>
        <v>-0.0097823522548921</v>
      </c>
      <c r="D475" s="20" t="n">
        <f aca="false">SQRT(B475^2+C475^2)</f>
        <v>9.38263289639147</v>
      </c>
      <c r="E475" s="32" t="n">
        <f aca="false">20*LOG10(MAX(D475,0.000000000001)/$K$3)</f>
        <v>19.4464944902358</v>
      </c>
    </row>
    <row r="476" customFormat="false" ht="15" hidden="false" customHeight="false" outlineLevel="0" collapsed="false">
      <c r="A476" s="13" t="n">
        <f aca="false">A475+$F$3</f>
        <v>18800</v>
      </c>
      <c r="B476" s="20" t="n">
        <f aca="false">SUMPRODUCT(固有振動数!$Q$6:$Q$22*(1-($A476/固有振動数!$O$6:$O$22)^2)/((1-($A476/固有振動数!$O$6:$O$22)^2)^2+固有振動数!$P$6:$P$22^2))</f>
        <v>9.5507139412532</v>
      </c>
      <c r="C476" s="20" t="n">
        <f aca="false">-SUMPRODUCT(固有振動数!$Q$6:$Q$22*固有振動数!$P$6:$P$22/((1-($A476/固有振動数!$O$6:$O$22)^2)^2+固有振動数!$P$6:$P$22^2))</f>
        <v>-0.00978899124833581</v>
      </c>
      <c r="D476" s="20" t="n">
        <f aca="false">SQRT(B476^2+C476^2)</f>
        <v>9.55071895785851</v>
      </c>
      <c r="E476" s="32" t="n">
        <f aca="false">20*LOG10(MAX(D476,0.000000000001)/$K$3)</f>
        <v>19.6007213116289</v>
      </c>
    </row>
    <row r="477" customFormat="false" ht="15" hidden="false" customHeight="false" outlineLevel="0" collapsed="false">
      <c r="A477" s="13" t="n">
        <f aca="false">A476+$F$3</f>
        <v>18840</v>
      </c>
      <c r="B477" s="20" t="n">
        <f aca="false">SUMPRODUCT(固有振動数!$Q$6:$Q$22*(1-($A477/固有振動数!$O$6:$O$22)^2)/((1-($A477/固有振動数!$O$6:$O$22)^2)^2+固有振動数!$P$6:$P$22^2))</f>
        <v>9.71795706876313</v>
      </c>
      <c r="C477" s="20" t="n">
        <f aca="false">-SUMPRODUCT(固有振動数!$Q$6:$Q$22*固有振動数!$P$6:$P$22/((1-($A477/固有振動数!$O$6:$O$22)^2)^2+固有振動数!$P$6:$P$22^2))</f>
        <v>-0.00980366694925834</v>
      </c>
      <c r="D477" s="20" t="n">
        <f aca="false">SQRT(B477^2+C477^2)</f>
        <v>9.71796201382826</v>
      </c>
      <c r="E477" s="32" t="n">
        <f aca="false">20*LOG10(MAX(D477,0.000000000001)/$K$3)</f>
        <v>19.7515039426628</v>
      </c>
    </row>
    <row r="478" customFormat="false" ht="15" hidden="false" customHeight="false" outlineLevel="0" collapsed="false">
      <c r="A478" s="13" t="n">
        <f aca="false">A477+$F$3</f>
        <v>18880</v>
      </c>
      <c r="B478" s="20" t="n">
        <f aca="false">SUMPRODUCT(固有振動数!$Q$6:$Q$22*(1-($A478/固有振動数!$O$6:$O$22)^2)/((1-($A478/固有振動数!$O$6:$O$22)^2)^2+固有振動数!$P$6:$P$22^2))</f>
        <v>9.88453216409158</v>
      </c>
      <c r="C478" s="20" t="n">
        <f aca="false">-SUMPRODUCT(固有振動数!$Q$6:$Q$22*固有振動数!$P$6:$P$22/((1-($A478/固有振動数!$O$6:$O$22)^2)^2+固有振動数!$P$6:$P$22^2))</f>
        <v>-0.00982617396677029</v>
      </c>
      <c r="D478" s="20" t="n">
        <f aca="false">SQRT(B478^2+C478^2)</f>
        <v>9.88453704817053</v>
      </c>
      <c r="E478" s="32" t="n">
        <f aca="false">20*LOG10(MAX(D478,0.000000000001)/$K$3)</f>
        <v>19.8991266704987</v>
      </c>
    </row>
    <row r="479" customFormat="false" ht="15" hidden="false" customHeight="false" outlineLevel="0" collapsed="false">
      <c r="A479" s="13" t="n">
        <f aca="false">A478+$F$3</f>
        <v>18920</v>
      </c>
      <c r="B479" s="20" t="n">
        <f aca="false">SUMPRODUCT(固有振動数!$Q$6:$Q$22*(1-($A479/固有振動数!$O$6:$O$22)^2)/((1-($A479/固有振動数!$O$6:$O$22)^2)^2+固有振動数!$P$6:$P$22^2))</f>
        <v>10.0506084122285</v>
      </c>
      <c r="C479" s="20" t="n">
        <f aca="false">-SUMPRODUCT(固有振動数!$Q$6:$Q$22*固有振動数!$P$6:$P$22/((1-($A479/固有振動数!$O$6:$O$22)^2)^2+固有振動数!$P$6:$P$22^2))</f>
        <v>-0.00985634301389657</v>
      </c>
      <c r="D479" s="20" t="n">
        <f aca="false">SQRT(B479^2+C479^2)</f>
        <v>10.0506132451436</v>
      </c>
      <c r="E479" s="32" t="n">
        <f aca="false">20*LOG10(MAX(D479,0.000000000001)/$K$3)</f>
        <v>20.0438512268847</v>
      </c>
    </row>
    <row r="480" customFormat="false" ht="15" hidden="false" customHeight="false" outlineLevel="0" collapsed="false">
      <c r="A480" s="13" t="n">
        <f aca="false">A479+$F$3</f>
        <v>18960</v>
      </c>
      <c r="B480" s="20" t="n">
        <f aca="false">SUMPRODUCT(固有振動数!$Q$6:$Q$22*(1-($A480/固有振動数!$O$6:$O$22)^2)/((1-($A480/固有振動数!$O$6:$O$22)^2)^2+固有振動数!$P$6:$P$22^2))</f>
        <v>10.2163500080104</v>
      </c>
      <c r="C480" s="20" t="n">
        <f aca="false">-SUMPRODUCT(固有振動数!$Q$6:$Q$22*固有振動数!$P$6:$P$22/((1-($A480/固有振動数!$O$6:$O$22)^2)^2+固有振動数!$P$6:$P$22^2))</f>
        <v>-0.0098940386351948</v>
      </c>
      <c r="D480" s="20" t="n">
        <f aca="false">SQRT(B480^2+C480^2)</f>
        <v>10.2163547989572</v>
      </c>
      <c r="E480" s="32" t="n">
        <f aca="false">20*LOG10(MAX(D480,0.000000000001)/$K$3)</f>
        <v>20.1859193385012</v>
      </c>
    </row>
    <row r="481" customFormat="false" ht="15" hidden="false" customHeight="false" outlineLevel="0" collapsed="false">
      <c r="A481" s="13" t="n">
        <f aca="false">A480+$F$3</f>
        <v>19000</v>
      </c>
      <c r="B481" s="20" t="n">
        <f aca="false">SUMPRODUCT(固有振動数!$Q$6:$Q$22*(1-($A481/固有振動数!$O$6:$O$22)^2)/((1-($A481/固有振動数!$O$6:$O$22)^2)^2+固有振動数!$P$6:$P$22^2))</f>
        <v>10.3819169099276</v>
      </c>
      <c r="C481" s="20" t="n">
        <f aca="false">-SUMPRODUCT(固有振動数!$Q$6:$Q$22*固有振動数!$P$6:$P$22/((1-($A481/固有振動数!$O$6:$O$22)^2)^2+固有振動数!$P$6:$P$22^2))</f>
        <v>-0.00993915730194086</v>
      </c>
      <c r="D481" s="20" t="n">
        <f aca="false">SQRT(B481^2+C481^2)</f>
        <v>10.3819216675665</v>
      </c>
      <c r="E481" s="32" t="n">
        <f aca="false">20*LOG10(MAX(D481,0.000000000001)/$K$3)</f>
        <v>20.3255549553684</v>
      </c>
    </row>
    <row r="482" customFormat="false" ht="15" hidden="false" customHeight="false" outlineLevel="0" collapsed="false">
      <c r="A482" s="13" t="n">
        <f aca="false">A481+$F$3</f>
        <v>19040</v>
      </c>
      <c r="B482" s="20" t="n">
        <f aca="false">SUMPRODUCT(固有振動数!$Q$6:$Q$22*(1-($A482/固有振動数!$O$6:$O$22)^2)/((1-($A482/固有振動数!$O$6:$O$22)^2)^2+固有振動数!$P$6:$P$22^2))</f>
        <v>10.5474655464193</v>
      </c>
      <c r="C482" s="20" t="n">
        <f aca="false">-SUMPRODUCT(固有振動数!$Q$6:$Q$22*固有振動数!$P$6:$P$22/((1-($A482/固有振動数!$O$6:$O$22)^2)^2+固有振動数!$P$6:$P$22^2))</f>
        <v>-0.00999162583871921</v>
      </c>
      <c r="D482" s="20" t="n">
        <f aca="false">SQRT(B482^2+C482^2)</f>
        <v>10.5474702789574</v>
      </c>
      <c r="E482" s="32" t="n">
        <f aca="false">20*LOG10(MAX(D482,0.000000000001)/$K$3)</f>
        <v>20.4629662056994</v>
      </c>
    </row>
    <row r="483" customFormat="false" ht="15" hidden="false" customHeight="false" outlineLevel="0" collapsed="false">
      <c r="A483" s="13" t="n">
        <f aca="false">A482+$F$3</f>
        <v>19080</v>
      </c>
      <c r="B483" s="20" t="n">
        <f aca="false">SUMPRODUCT(固有振動数!$Q$6:$Q$22*(1-($A483/固有振動数!$O$6:$O$22)^2)/((1-($A483/固有振動数!$O$6:$O$22)^2)^2+固有振動数!$P$6:$P$22^2))</f>
        <v>10.7131494820707</v>
      </c>
      <c r="C483" s="20" t="n">
        <f aca="false">-SUMPRODUCT(固有振動数!$Q$6:$Q$22*固有振動数!$P$6:$P$22/((1-($A483/固有振動数!$O$6:$O$22)^2)^2+固有振動数!$P$6:$P$22^2))</f>
        <v>-0.0100514001515977</v>
      </c>
      <c r="D483" s="20" t="n">
        <f aca="false">SQRT(B483^2+C483^2)</f>
        <v>10.7131541973332</v>
      </c>
      <c r="E483" s="32" t="n">
        <f aca="false">20*LOG10(MAX(D483,0.000000000001)/$K$3)</f>
        <v>20.5983471175133</v>
      </c>
    </row>
    <row r="484" customFormat="false" ht="15" hidden="false" customHeight="false" outlineLevel="0" collapsed="false">
      <c r="A484" s="13" t="n">
        <f aca="false">A483+$F$3</f>
        <v>19120</v>
      </c>
      <c r="B484" s="20" t="n">
        <f aca="false">SUMPRODUCT(固有振動数!$Q$6:$Q$22*(1-($A484/固有振動数!$O$6:$O$22)^2)/((1-($A484/固有振動数!$O$6:$O$22)^2)^2+固有振動数!$P$6:$P$22^2))</f>
        <v>10.8791200504205</v>
      </c>
      <c r="C484" s="20" t="n">
        <f aca="false">-SUMPRODUCT(固有振動数!$Q$6:$Q$22*固有振動数!$P$6:$P$22/((1-($A484/固有振動数!$O$6:$O$22)^2)^2+固有振動数!$P$6:$P$22^2))</f>
        <v>-0.0101184642335889</v>
      </c>
      <c r="D484" s="20" t="n">
        <f aca="false">SQRT(B484^2+C484^2)</f>
        <v>10.8791247559158</v>
      </c>
      <c r="E484" s="32" t="n">
        <f aca="false">20*LOG10(MAX(D484,0.000000000001)/$K$3)</f>
        <v>20.7318791407615</v>
      </c>
    </row>
    <row r="485" customFormat="false" ht="15" hidden="false" customHeight="false" outlineLevel="0" collapsed="false">
      <c r="A485" s="13" t="n">
        <f aca="false">A484+$F$3</f>
        <v>19160</v>
      </c>
      <c r="B485" s="20" t="n">
        <f aca="false">SUMPRODUCT(固有振動数!$Q$6:$Q$22*(1-($A485/固有振動数!$O$6:$O$22)^2)/((1-($A485/固有振動数!$O$6:$O$22)^2)^2+固有振動数!$P$6:$P$22^2))</f>
        <v>11.0455269595098</v>
      </c>
      <c r="C485" s="20" t="n">
        <f aca="false">-SUMPRODUCT(固有振動数!$Q$6:$Q$22*固有振動数!$P$6:$P$22/((1-($A485/固有振動数!$O$6:$O$22)^2)^2+固有振動数!$P$6:$P$22^2))</f>
        <v>-0.0101928294279598</v>
      </c>
      <c r="D485" s="20" t="n">
        <f aca="false">SQRT(B485^2+C485^2)</f>
        <v>11.0455316624882</v>
      </c>
      <c r="E485" s="32" t="n">
        <f aca="false">20*LOG10(MAX(D485,0.000000000001)/$K$3)</f>
        <v>20.8637324983596</v>
      </c>
    </row>
    <row r="486" customFormat="false" ht="15" hidden="false" customHeight="false" outlineLevel="0" collapsed="false">
      <c r="A486" s="13" t="n">
        <f aca="false">A485+$F$3</f>
        <v>19200</v>
      </c>
      <c r="B486" s="20" t="n">
        <f aca="false">SUMPRODUCT(固有振動数!$Q$6:$Q$22*(1-($A486/固有振動数!$O$6:$O$22)^2)/((1-($A486/固有振動数!$O$6:$O$22)^2)^2+固有振動数!$P$6:$P$22^2))</f>
        <v>11.2125188758263</v>
      </c>
      <c r="C486" s="20" t="n">
        <f aca="false">-SUMPRODUCT(固有振動数!$Q$6:$Q$22*固有振動数!$P$6:$P$22/((1-($A486/固有振動数!$O$6:$O$22)^2)^2+固有振動数!$P$6:$P$22^2))</f>
        <v>-0.0102745339342886</v>
      </c>
      <c r="D486" s="20" t="n">
        <f aca="false">SQRT(B486^2+C486^2)</f>
        <v>11.2125235833334</v>
      </c>
      <c r="E486" s="32" t="n">
        <f aca="false">20*LOG10(MAX(D486,0.000000000001)/$K$3)</f>
        <v>20.9940673901191</v>
      </c>
    </row>
    <row r="487" customFormat="false" ht="15" hidden="false" customHeight="false" outlineLevel="0" collapsed="false">
      <c r="A487" s="13" t="n">
        <f aca="false">A486+$F$3</f>
        <v>19240</v>
      </c>
      <c r="B487" s="20" t="n">
        <f aca="false">SUMPRODUCT(固有振動数!$Q$6:$Q$22*(1-($A487/固有振動数!$O$6:$O$22)^2)/((1-($A487/固有振動数!$O$6:$O$22)^2)^2+固有振動数!$P$6:$P$22^2))</f>
        <v>11.3802439919238</v>
      </c>
      <c r="C487" s="20" t="n">
        <f aca="false">-SUMPRODUCT(固有振動数!$Q$6:$Q$22*固有振動数!$P$6:$P$22/((1-($A487/固有振動数!$O$6:$O$22)^2)^2+固有振動数!$P$6:$P$22^2))</f>
        <v>-0.0103636425460914</v>
      </c>
      <c r="D487" s="20" t="n">
        <f aca="false">SQRT(B487^2+C487^2)</f>
        <v>11.3802487108501</v>
      </c>
      <c r="E487" s="32" t="n">
        <f aca="false">20*LOG10(MAX(D487,0.000000000001)/$K$3)</f>
        <v>21.1230350699499</v>
      </c>
    </row>
    <row r="488" customFormat="false" ht="15" hidden="false" customHeight="false" outlineLevel="0" collapsed="false">
      <c r="A488" s="13" t="n">
        <f aca="false">A487+$F$3</f>
        <v>19280</v>
      </c>
      <c r="B488" s="20" t="n">
        <f aca="false">SUMPRODUCT(固有振動数!$Q$6:$Q$22*(1-($A488/固有振動数!$O$6:$O$22)^2)/((1-($A488/固有振動数!$O$6:$O$22)^2)^2+固有振動数!$P$6:$P$22^2))</f>
        <v>11.5488505827</v>
      </c>
      <c r="C488" s="20" t="n">
        <f aca="false">-SUMPRODUCT(固有振動数!$Q$6:$Q$22*固有振動数!$P$6:$P$22/((1-($A488/固有振動数!$O$6:$O$22)^2)^2+固有振動数!$P$6:$P$22^2))</f>
        <v>-0.0104602466124622</v>
      </c>
      <c r="D488" s="20" t="n">
        <f aca="false">SQRT(B488^2+C488^2)</f>
        <v>11.5488553198267</v>
      </c>
      <c r="E488" s="32" t="n">
        <f aca="false">20*LOG10(MAX(D488,0.000000000001)/$K$3)</f>
        <v>21.2507788137082</v>
      </c>
    </row>
    <row r="489" customFormat="false" ht="15" hidden="false" customHeight="false" outlineLevel="0" collapsed="false">
      <c r="A489" s="13" t="n">
        <f aca="false">A488+$F$3</f>
        <v>19320</v>
      </c>
      <c r="B489" s="20" t="n">
        <f aca="false">SUMPRODUCT(固有振動数!$Q$6:$Q$22*(1-($A489/固有振動数!$O$6:$O$22)^2)/((1-($A489/固有振動数!$O$6:$O$22)^2)^2+固有振動数!$P$6:$P$22^2))</f>
        <v>11.7184875551063</v>
      </c>
      <c r="C489" s="20" t="n">
        <f aca="false">-SUMPRODUCT(固有振動数!$Q$6:$Q$22*固有振動数!$P$6:$P$22/((1-($A489/固有振動数!$O$6:$O$22)^2)^2+固有振動数!$P$6:$P$22^2))</f>
        <v>-0.0105644642195631</v>
      </c>
      <c r="D489" s="20" t="n">
        <f aca="false">SQRT(B489^2+C489^2)</f>
        <v>11.7184923171493</v>
      </c>
      <c r="E489" s="32" t="n">
        <f aca="false">20*LOG10(MAX(D489,0.000000000001)/$K$3)</f>
        <v>21.3774347925798</v>
      </c>
    </row>
    <row r="490" customFormat="false" ht="15" hidden="false" customHeight="false" outlineLevel="0" collapsed="false">
      <c r="A490" s="13" t="n">
        <f aca="false">A489+$F$3</f>
        <v>19360</v>
      </c>
      <c r="B490" s="20" t="n">
        <f aca="false">SUMPRODUCT(固有振動数!$Q$6:$Q$22*(1-($A490/固有振動数!$O$6:$O$22)^2)/((1-($A490/固有振動数!$O$6:$O$22)^2)^2+固有振動数!$P$6:$P$22^2))</f>
        <v>11.889304995921</v>
      </c>
      <c r="C490" s="20" t="n">
        <f aca="false">-SUMPRODUCT(固有振動数!$Q$6:$Q$22*固有振動数!$P$6:$P$22/((1-($A490/固有振動数!$O$6:$O$22)^2)^2+固有振動数!$P$6:$P$22^2))</f>
        <v>-0.0106764405910672</v>
      </c>
      <c r="D490" s="20" t="n">
        <f aca="false">SQRT(B490^2+C490^2)</f>
        <v>11.8893097895722</v>
      </c>
      <c r="E490" s="32" t="n">
        <f aca="false">20*LOG10(MAX(D490,0.000000000001)/$K$3)</f>
        <v>21.5031328648199</v>
      </c>
    </row>
    <row r="491" customFormat="false" ht="15" hidden="false" customHeight="false" outlineLevel="0" collapsed="false">
      <c r="A491" s="13" t="n">
        <f aca="false">A490+$F$3</f>
        <v>19400</v>
      </c>
      <c r="B491" s="20" t="n">
        <f aca="false">SUMPRODUCT(固有振動数!$Q$6:$Q$22*(1-($A491/固有振動数!$O$6:$O$22)^2)/((1-($A491/固有振動数!$O$6:$O$22)^2)^2+固有振動数!$P$6:$P$22^2))</f>
        <v>12.061454722144</v>
      </c>
      <c r="C491" s="20" t="n">
        <f aca="false">-SUMPRODUCT(固有振動数!$Q$6:$Q$22*固有振動数!$P$6:$P$22/((1-($A491/固有振動数!$O$6:$O$22)^2)^2+固有振動数!$P$6:$P$22^2))</f>
        <v>-0.010796348709847</v>
      </c>
      <c r="D491" s="20" t="n">
        <f aca="false">SQRT(B491^2+C491^2)</f>
        <v>12.0614595541119</v>
      </c>
      <c r="E491" s="32" t="n">
        <f aca="false">20*LOG10(MAX(D491,0.000000000001)/$K$3)</f>
        <v>21.6279972969494</v>
      </c>
    </row>
    <row r="492" customFormat="false" ht="15" hidden="false" customHeight="false" outlineLevel="0" collapsed="false">
      <c r="A492" s="13" t="n">
        <f aca="false">A491+$F$3</f>
        <v>19440</v>
      </c>
      <c r="B492" s="20" t="n">
        <f aca="false">SUMPRODUCT(固有振動数!$Q$6:$Q$22*(1-($A492/固有振動数!$O$6:$O$22)^2)/((1-($A492/固有振動数!$O$6:$O$22)^2)^2+固有振動数!$P$6:$P$22^2))</f>
        <v>12.2350908385708</v>
      </c>
      <c r="C492" s="20" t="n">
        <f aca="false">-SUMPRODUCT(固有振動数!$Q$6:$Q$22*固有振動数!$P$6:$P$22/((1-($A492/固有振動数!$O$6:$O$22)^2)^2+固有振動数!$P$6:$P$22^2))</f>
        <v>-0.0109243901664155</v>
      </c>
      <c r="D492" s="20" t="n">
        <f aca="false">SQRT(B492^2+C492^2)</f>
        <v>12.2350957156199</v>
      </c>
      <c r="E492" s="32" t="n">
        <f aca="false">20*LOG10(MAX(D492,0.000000000001)/$K$3)</f>
        <v>21.7521474240675</v>
      </c>
    </row>
    <row r="493" customFormat="false" ht="15" hidden="false" customHeight="false" outlineLevel="0" collapsed="false">
      <c r="A493" s="13" t="n">
        <f aca="false">A492+$F$3</f>
        <v>19480</v>
      </c>
      <c r="B493" s="20" t="n">
        <f aca="false">SUMPRODUCT(固有振動数!$Q$6:$Q$22*(1-($A493/固有振動数!$O$6:$O$22)^2)/((1-($A493/固有振動数!$O$6:$O$22)^2)^2+固有振動数!$P$6:$P$22^2))</f>
        <v>12.4103703071621</v>
      </c>
      <c r="C493" s="20" t="n">
        <f aca="false">-SUMPRODUCT(固有振動数!$Q$6:$Q$22*固有振動数!$P$6:$P$22/((1-($A493/固有振動数!$O$6:$O$22)^2)^2+固有振動数!$P$6:$P$22^2))</f>
        <v>-0.0110607962429097</v>
      </c>
      <c r="D493" s="20" t="n">
        <f aca="false">SQRT(B493^2+C493^2)</f>
        <v>12.4103752361524</v>
      </c>
      <c r="E493" s="32" t="n">
        <f aca="false">20*LOG10(MAX(D493,0.000000000001)/$K$3)</f>
        <v>21.8756982577372</v>
      </c>
    </row>
    <row r="494" customFormat="false" ht="15" hidden="false" customHeight="false" outlineLevel="0" collapsed="false">
      <c r="A494" s="13" t="n">
        <f aca="false">A493+$F$3</f>
        <v>19520</v>
      </c>
      <c r="B494" s="20" t="n">
        <f aca="false">SUMPRODUCT(固有振動数!$Q$6:$Q$22*(1-($A494/固有振動数!$O$6:$O$22)^2)/((1-($A494/固有振動数!$O$6:$O$22)^2)^2+固有振動数!$P$6:$P$22^2))</f>
        <v>12.5874535329573</v>
      </c>
      <c r="C494" s="20" t="n">
        <f aca="false">-SUMPRODUCT(固有振動数!$Q$6:$Q$22*固有振動数!$P$6:$P$22/((1-($A494/固有振動数!$O$6:$O$22)^2)^2+固有振動数!$P$6:$P$22^2))</f>
        <v>-0.011205829244858</v>
      </c>
      <c r="D494" s="20" t="n">
        <f aca="false">SQRT(B494^2+C494^2)</f>
        <v>12.5874585208837</v>
      </c>
      <c r="E494" s="32" t="n">
        <f aca="false">20*LOG10(MAX(D494,0.000000000001)/$K$3)</f>
        <v>21.9987610489002</v>
      </c>
    </row>
    <row r="495" customFormat="false" ht="15" hidden="false" customHeight="false" outlineLevel="0" collapsed="false">
      <c r="A495" s="13" t="n">
        <f aca="false">A494+$F$3</f>
        <v>19560</v>
      </c>
      <c r="B495" s="20" t="n">
        <f aca="false">SUMPRODUCT(固有振動数!$Q$6:$Q$22*(1-($A495/固有振動数!$O$6:$O$22)^2)/((1-($A495/固有振動数!$O$6:$O$22)^2)^2+固有振動数!$P$6:$P$22^2))</f>
        <v>12.76650497148</v>
      </c>
      <c r="C495" s="20" t="n">
        <f aca="false">-SUMPRODUCT(固有振動数!$Q$6:$Q$22*固有振動数!$P$6:$P$22/((1-($A495/固有振動数!$O$6:$O$22)^2)^2+固有振動数!$P$6:$P$22^2))</f>
        <v>-0.0113597840966499</v>
      </c>
      <c r="D495" s="20" t="n">
        <f aca="false">SQRT(B495^2+C495^2)</f>
        <v>12.7665100255128</v>
      </c>
      <c r="E495" s="32" t="n">
        <f aca="false">20*LOG10(MAX(D495,0.000000000001)/$K$3)</f>
        <v>22.121443812437</v>
      </c>
    </row>
    <row r="496" customFormat="false" ht="15" hidden="false" customHeight="false" outlineLevel="0" collapsed="false">
      <c r="A496" s="13" t="n">
        <f aca="false">A495+$F$3</f>
        <v>19600</v>
      </c>
      <c r="B496" s="20" t="n">
        <f aca="false">SUMPRODUCT(固有振動数!$Q$6:$Q$22*(1-($A496/固有振動数!$O$6:$O$22)^2)/((1-($A496/固有振動数!$O$6:$O$22)^2)^2+固有振動数!$P$6:$P$22^2))</f>
        <v>12.9476937628561</v>
      </c>
      <c r="C496" s="20" t="n">
        <f aca="false">-SUMPRODUCT(固有振動数!$Q$6:$Q$22*固有振動数!$P$6:$P$22/((1-($A496/固有振動数!$O$6:$O$22)^2)^2+固有振動数!$P$6:$P$22^2))</f>
        <v>-0.0115229902206293</v>
      </c>
      <c r="D496" s="20" t="n">
        <f aca="false">SQRT(B496^2+C496^2)</f>
        <v>12.9476988903823</v>
      </c>
      <c r="E496" s="32" t="n">
        <f aca="false">20*LOG10(MAX(D496,0.000000000001)/$K$3)</f>
        <v>22.2438518192972</v>
      </c>
    </row>
    <row r="497" customFormat="false" ht="15" hidden="false" customHeight="false" outlineLevel="0" collapsed="false">
      <c r="A497" s="13" t="n">
        <f aca="false">A496+$F$3</f>
        <v>19640</v>
      </c>
      <c r="B497" s="20" t="n">
        <f aca="false">SUMPRODUCT(固有振動数!$Q$6:$Q$22*(1-($A497/固有振動数!$O$6:$O$22)^2)/((1-($A497/固有振動数!$O$6:$O$22)^2)^2+固有振動数!$P$6:$P$22^2))</f>
        <v>13.1311943982212</v>
      </c>
      <c r="C497" s="20" t="n">
        <f aca="false">-SUMPRODUCT(固有振動数!$Q$6:$Q$22*固有振動数!$P$6:$P$22/((1-($A497/固有振動数!$O$6:$O$22)^2)^2+固有振動数!$P$6:$P$22^2))</f>
        <v>-0.0116958137241485</v>
      </c>
      <c r="D497" s="20" t="n">
        <f aca="false">SQRT(B497^2+C497^2)</f>
        <v>13.1311996068879</v>
      </c>
      <c r="E497" s="32" t="n">
        <f aca="false">20*LOG10(MAX(D497,0.000000000001)/$K$3)</f>
        <v>22.3660880615517</v>
      </c>
    </row>
    <row r="498" customFormat="false" ht="15" hidden="false" customHeight="false" outlineLevel="0" collapsed="false">
      <c r="A498" s="13" t="n">
        <f aca="false">A497+$F$3</f>
        <v>19680</v>
      </c>
      <c r="B498" s="20" t="n">
        <f aca="false">SUMPRODUCT(固有振動数!$Q$6:$Q$22*(1-($A498/固有振動数!$O$6:$O$22)^2)/((1-($A498/固有振動数!$O$6:$O$22)^2)^2+固有振動数!$P$6:$P$22^2))</f>
        <v>13.3171874244325</v>
      </c>
      <c r="C498" s="20" t="n">
        <f aca="false">-SUMPRODUCT(固有振動数!$Q$6:$Q$22*固有振動数!$P$6:$P$22/((1-($A498/固有振動数!$O$6:$O$22)^2)^2+固有振動数!$P$6:$P$22^2))</f>
        <v>-0.0118786599238551</v>
      </c>
      <c r="D498" s="20" t="n">
        <f aca="false">SQRT(B498^2+C498^2)</f>
        <v>13.3171927221928</v>
      </c>
      <c r="E498" s="32" t="n">
        <f aca="false">20*LOG10(MAX(D498,0.000000000001)/$K$3)</f>
        <v>22.4882536952524</v>
      </c>
    </row>
    <row r="499" customFormat="false" ht="15" hidden="false" customHeight="false" outlineLevel="0" collapsed="false">
      <c r="A499" s="13" t="n">
        <f aca="false">A498+$F$3</f>
        <v>19720</v>
      </c>
      <c r="B499" s="20" t="n">
        <f aca="false">SUMPRODUCT(固有振動数!$Q$6:$Q$22*(1-($A499/固有振動数!$O$6:$O$22)^2)/((1-($A499/固有振動数!$O$6:$O$22)^2)^2+固有振動数!$P$6:$P$22^2))</f>
        <v>13.5058601936427</v>
      </c>
      <c r="C499" s="20" t="n">
        <f aca="false">-SUMPRODUCT(固有振動数!$Q$6:$Q$22*固有振動数!$P$6:$P$22/((1-($A499/固有振動数!$O$6:$O$22)^2)^2+固有振動数!$P$6:$P$22^2))</f>
        <v>-0.0120719762420712</v>
      </c>
      <c r="D499" s="20" t="n">
        <f aca="false">SQRT(B499^2+C499^2)</f>
        <v>13.5058655888037</v>
      </c>
      <c r="E499" s="32" t="n">
        <f aca="false">20*LOG10(MAX(D499,0.000000000001)/$K$3)</f>
        <v>22.6104484656111</v>
      </c>
    </row>
    <row r="500" customFormat="false" ht="15" hidden="false" customHeight="false" outlineLevel="0" collapsed="false">
      <c r="A500" s="13" t="n">
        <f aca="false">A499+$F$3</f>
        <v>19760</v>
      </c>
      <c r="B500" s="20" t="n">
        <f aca="false">SUMPRODUCT(固有振動数!$Q$6:$Q$22*(1-($A500/固有振動数!$O$6:$O$22)^2)/((1-($A500/固有振動数!$O$6:$O$22)^2)^2+固有振動数!$P$6:$P$22^2))</f>
        <v>13.6974076649388</v>
      </c>
      <c r="C500" s="20" t="n">
        <f aca="false">-SUMPRODUCT(固有振動数!$Q$6:$Q$22*固有振動数!$P$6:$P$22/((1-($A500/固有振動数!$O$6:$O$22)^2)^2+固有振動数!$P$6:$P$22^2))</f>
        <v>-0.0122762555164982</v>
      </c>
      <c r="D500" s="20" t="n">
        <f aca="false">SQRT(B500^2+C500^2)</f>
        <v>13.697413166214</v>
      </c>
      <c r="E500" s="32" t="n">
        <f aca="false">20*LOG10(MAX(D500,0.000000000001)/$K$3)</f>
        <v>22.7327711187239</v>
      </c>
    </row>
    <row r="501" customFormat="false" ht="15" hidden="false" customHeight="false" outlineLevel="0" collapsed="false">
      <c r="A501" s="13" t="n">
        <f aca="false">A500+$F$3</f>
        <v>19800</v>
      </c>
      <c r="B501" s="20" t="n">
        <f aca="false">SUMPRODUCT(固有振動数!$Q$6:$Q$22*(1-($A501/固有振動数!$O$6:$O$22)^2)/((1-($A501/固有振動数!$O$6:$O$22)^2)^2+固有振動数!$P$6:$P$22^2))</f>
        <v>13.8920332660241</v>
      </c>
      <c r="C501" s="20" t="n">
        <f aca="false">-SUMPRODUCT(固有振動数!$Q$6:$Q$22*固有振動数!$P$6:$P$22/((1-($A501/固有振動数!$O$6:$O$22)^2)^2+固有振動数!$P$6:$P$22^2))</f>
        <v>-0.0124920397718182</v>
      </c>
      <c r="D501" s="20" t="n">
        <f aca="false">SQRT(B501^2+C501^2)</f>
        <v>13.8920388825895</v>
      </c>
      <c r="E501" s="32" t="n">
        <f aca="false">20*LOG10(MAX(D501,0.000000000001)/$K$3)</f>
        <v>22.8553198038462</v>
      </c>
    </row>
    <row r="502" customFormat="false" ht="15" hidden="false" customHeight="false" outlineLevel="0" collapsed="false">
      <c r="A502" s="13" t="n">
        <f aca="false">A501+$F$3</f>
        <v>19840</v>
      </c>
      <c r="B502" s="20" t="n">
        <f aca="false">SUMPRODUCT(固有振動数!$Q$6:$Q$22*(1-($A502/固有振動数!$O$6:$O$22)^2)/((1-($A502/固有振動数!$O$6:$O$22)^2)^2+固有振動数!$P$6:$P$22^2))</f>
        <v>14.0899498238384</v>
      </c>
      <c r="C502" s="20" t="n">
        <f aca="false">-SUMPRODUCT(固有振動数!$Q$6:$Q$22*固有振動数!$P$6:$P$22/((1-($A502/固有振動数!$O$6:$O$22)^2)^2+固有振動数!$P$6:$P$22^2))</f>
        <v>-0.0127199245102725</v>
      </c>
      <c r="D502" s="20" t="n">
        <f aca="false">SQRT(B502^2+C502^2)</f>
        <v>14.0899555653935</v>
      </c>
      <c r="E502" s="32" t="n">
        <f aca="false">20*LOG10(MAX(D502,0.000000000001)/$K$3)</f>
        <v>22.9781924700866</v>
      </c>
    </row>
    <row r="503" customFormat="false" ht="15" hidden="false" customHeight="false" outlineLevel="0" collapsed="false">
      <c r="A503" s="13" t="n">
        <f aca="false">A502+$F$3</f>
        <v>19880</v>
      </c>
      <c r="B503" s="20" t="n">
        <f aca="false">SUMPRODUCT(固有振動数!$Q$6:$Q$22*(1-($A503/固有振動数!$O$6:$O$22)^2)/((1-($A503/固有振動数!$O$6:$O$22)^2)^2+固有振動数!$P$6:$P$22^2))</f>
        <v>14.2913805740948</v>
      </c>
      <c r="C503" s="20" t="n">
        <f aca="false">-SUMPRODUCT(固有振動数!$Q$6:$Q$22*固有振動数!$P$6:$P$22/((1-($A503/固有振動数!$O$6:$O$22)^2)^2+固有振動数!$P$6:$P$22^2))</f>
        <v>-0.012960563588215</v>
      </c>
      <c r="D503" s="20" t="n">
        <f aca="false">SQRT(B503^2+C503^2)</f>
        <v>14.2913864509299</v>
      </c>
      <c r="E503" s="32" t="n">
        <f aca="false">20*LOG10(MAX(D503,0.000000000001)/$K$3)</f>
        <v>23.101487261306</v>
      </c>
    </row>
    <row r="504" customFormat="false" ht="15" hidden="false" customHeight="false" outlineLevel="0" collapsed="false">
      <c r="A504" s="13" t="n">
        <f aca="false">A503+$F$3</f>
        <v>19920</v>
      </c>
      <c r="B504" s="20" t="n">
        <f aca="false">SUMPRODUCT(固有振動数!$Q$6:$Q$22*(1-($A504/固有振動数!$O$6:$O$22)^2)/((1-($A504/固有振動数!$O$6:$O$22)^2)^2+固有振動数!$P$6:$P$22^2))</f>
        <v>14.4965602609896</v>
      </c>
      <c r="C504" s="20" t="n">
        <f aca="false">-SUMPRODUCT(固有振動数!$Q$6:$Q$22*固有振動数!$P$6:$P$22/((1-($A504/固有振動数!$O$6:$O$22)^2)^2+固有振動数!$P$6:$P$22^2))</f>
        <v>-0.0132146747572757</v>
      </c>
      <c r="D504" s="20" t="n">
        <f aca="false">SQRT(B504^2+C504^2)</f>
        <v>14.4965662840595</v>
      </c>
      <c r="E504" s="32" t="n">
        <f aca="false">20*LOG10(MAX(D504,0.000000000001)/$K$3)</f>
        <v>23.2253029129995</v>
      </c>
    </row>
    <row r="505" customFormat="false" ht="15" hidden="false" customHeight="false" outlineLevel="0" collapsed="false">
      <c r="A505" s="13" t="n">
        <f aca="false">A504+$F$3</f>
        <v>19960</v>
      </c>
      <c r="B505" s="20" t="n">
        <f aca="false">SUMPRODUCT(固有振動数!$Q$6:$Q$22*(1-($A505/固有振動数!$O$6:$O$22)^2)/((1-($A505/固有振動数!$O$6:$O$22)^2)^2+固有振動数!$P$6:$P$22^2))</f>
        <v>14.7057363398451</v>
      </c>
      <c r="C505" s="20" t="n">
        <f aca="false">-SUMPRODUCT(固有振動数!$Q$6:$Q$22*固有振動数!$P$6:$P$22/((1-($A505/固有振動数!$O$6:$O$22)^2)^2+固有振動数!$P$6:$P$22^2))</f>
        <v>-0.0134830459624766</v>
      </c>
      <c r="D505" s="20" t="n">
        <f aca="false">SQRT(B505^2+C505^2)</f>
        <v>14.7057425208511</v>
      </c>
      <c r="E505" s="32" t="n">
        <f aca="false">20*LOG10(MAX(D505,0.000000000001)/$K$3)</f>
        <v>23.3497391549877</v>
      </c>
    </row>
    <row r="506" customFormat="false" ht="15" hidden="false" customHeight="false" outlineLevel="0" collapsed="false">
      <c r="A506" s="13" t="n">
        <f aca="false">A505+$F$3</f>
        <v>20000</v>
      </c>
      <c r="B506" s="20" t="n">
        <f aca="false">SUMPRODUCT(固有振動数!$Q$6:$Q$22*(1-($A506/固有振動数!$O$6:$O$22)^2)/((1-($A506/固有振動数!$O$6:$O$22)^2)^2+固有振動数!$P$6:$P$22^2))</f>
        <v>14.9191702972199</v>
      </c>
      <c r="C506" s="20" t="n">
        <f aca="false">-SUMPRODUCT(固有振動数!$Q$6:$Q$22*固有振動数!$P$6:$P$22/((1-($A506/固有振動数!$O$6:$O$22)^2)^2+固有振動数!$P$6:$P$22^2))</f>
        <v>-0.0137665425058684</v>
      </c>
      <c r="D506" s="20" t="n">
        <f aca="false">SQRT(B506^2+C506^2)</f>
        <v>14.9191766487009</v>
      </c>
      <c r="E506" s="32" t="n">
        <f aca="false">20*LOG10(MAX(D506,0.000000000001)/$K$3)</f>
        <v>23.474897123869</v>
      </c>
    </row>
    <row r="507" customFormat="false" ht="15" hidden="false" customHeight="false" outlineLevel="0" collapsed="false">
      <c r="A507" s="13" t="n">
        <f aca="false">A506+$F$3</f>
        <v>20040</v>
      </c>
      <c r="B507" s="20" t="n">
        <f aca="false">SUMPRODUCT(固有振動数!$Q$6:$Q$22*(1-($A507/固有振動数!$O$6:$O$22)^2)/((1-($A507/固有振動数!$O$6:$O$22)^2)^2+固有振動数!$P$6:$P$22^2))</f>
        <v>15.1371391051112</v>
      </c>
      <c r="C507" s="20" t="n">
        <f aca="false">-SUMPRODUCT(固有振動数!$Q$6:$Q$22*固有振動数!$P$6:$P$22/((1-($A507/固有振動数!$O$6:$O$22)^2)^2+固有振動数!$P$6:$P$22^2))</f>
        <v>-0.0140661152035508</v>
      </c>
      <c r="D507" s="20" t="n">
        <f aca="false">SQRT(B507^2+C507^2)</f>
        <v>15.1371456405454</v>
      </c>
      <c r="E507" s="32" t="n">
        <f aca="false">20*LOG10(MAX(D507,0.000000000001)/$K$3)</f>
        <v>23.6008797893712</v>
      </c>
    </row>
    <row r="508" customFormat="false" ht="15" hidden="false" customHeight="false" outlineLevel="0" collapsed="false">
      <c r="A508" s="13" t="n">
        <f aca="false">A507+$F$3</f>
        <v>20080</v>
      </c>
      <c r="B508" s="20" t="n">
        <f aca="false">SUMPRODUCT(固有振動数!$Q$6:$Q$22*(1-($A508/固有振動数!$O$6:$O$22)^2)/((1-($A508/固有振動数!$O$6:$O$22)^2)^2+固有振動数!$P$6:$P$22^2))</f>
        <v>15.3599368283421</v>
      </c>
      <c r="C508" s="20" t="n">
        <f aca="false">-SUMPRODUCT(固有振動数!$Q$6:$Q$22*固有振動数!$P$6:$P$22/((1-($A508/固有振動数!$O$6:$O$22)^2)^2+固有振動数!$P$6:$P$22^2))</f>
        <v>-0.014382809686967</v>
      </c>
      <c r="D508" s="20" t="n">
        <f aca="false">SQRT(B508^2+C508^2)</f>
        <v>15.359943562262</v>
      </c>
      <c r="E508" s="32" t="n">
        <f aca="false">20*LOG10(MAX(D508,0.000000000001)/$K$3)</f>
        <v>23.7277923990098</v>
      </c>
    </row>
    <row r="509" customFormat="false" ht="15" hidden="false" customHeight="false" outlineLevel="0" collapsed="false">
      <c r="A509" s="13" t="n">
        <f aca="false">A508+$F$3</f>
        <v>20120</v>
      </c>
      <c r="B509" s="20" t="n">
        <f aca="false">SUMPRODUCT(固有振動数!$Q$6:$Q$22*(1-($A509/固有振動数!$O$6:$O$22)^2)/((1-($A509/固有振動数!$O$6:$O$22)^2)^2+固有振動数!$P$6:$P$22^2))</f>
        <v>15.5878764071501</v>
      </c>
      <c r="C509" s="20" t="n">
        <f aca="false">-SUMPRODUCT(固有振動数!$Q$6:$Q$22*固有振動数!$P$6:$P$22/((1-($A509/固有振動数!$O$6:$O$22)^2)^2+固有振動数!$P$6:$P$22^2))</f>
        <v>-0.0147177770269602</v>
      </c>
      <c r="D509" s="20" t="n">
        <f aca="false">SQRT(B509^2+C509^2)</f>
        <v>15.5878833552714</v>
      </c>
      <c r="E509" s="32" t="n">
        <f aca="false">20*LOG10(MAX(D509,0.000000000001)/$K$3)</f>
        <v>23.8557429458112</v>
      </c>
    </row>
    <row r="510" customFormat="false" ht="15" hidden="false" customHeight="false" outlineLevel="0" collapsed="false">
      <c r="A510" s="13" t="n">
        <f aca="false">A509+$F$3</f>
        <v>20160</v>
      </c>
      <c r="B510" s="20" t="n">
        <f aca="false">SUMPRODUCT(固有振動数!$Q$6:$Q$22*(1-($A510/固有振動数!$O$6:$O$22)^2)/((1-($A510/固有振動数!$O$6:$O$22)^2)^2+固有振動数!$P$6:$P$22^2))</f>
        <v>15.8212916404548</v>
      </c>
      <c r="C510" s="20" t="n">
        <f aca="false">-SUMPRODUCT(固有振動数!$Q$6:$Q$22*固有振動数!$P$6:$P$22/((1-($A510/固有振動数!$O$6:$O$22)^2)^2+固有振動数!$P$6:$P$22^2))</f>
        <v>-0.0150722858922973</v>
      </c>
      <c r="D510" s="20" t="n">
        <f aca="false">SQRT(B510^2+C510^2)</f>
        <v>15.8212988198228</v>
      </c>
      <c r="E510" s="32" t="n">
        <f aca="false">20*LOG10(MAX(D510,0.000000000001)/$K$3)</f>
        <v>23.9848426643055</v>
      </c>
    </row>
    <row r="511" customFormat="false" ht="15" hidden="false" customHeight="false" outlineLevel="0" collapsed="false">
      <c r="A511" s="13" t="n">
        <f aca="false">A510+$F$3</f>
        <v>20200</v>
      </c>
      <c r="B511" s="20" t="n">
        <f aca="false">SUMPRODUCT(固有振動数!$Q$6:$Q$22*(1-($A511/固有振動数!$O$6:$O$22)^2)/((1-($A511/固有振動数!$O$6:$O$22)^2)^2+固有振動数!$P$6:$P$22^2))</f>
        <v>16.0605393994017</v>
      </c>
      <c r="C511" s="20" t="n">
        <f aca="false">-SUMPRODUCT(固有振動数!$Q$6:$Q$22*固有振動数!$P$6:$P$22/((1-($A511/固有振動数!$O$6:$O$22)^2)^2+固有振動数!$P$6:$P$22^2))</f>
        <v>-0.0154477364944825</v>
      </c>
      <c r="D511" s="20" t="n">
        <f aca="false">SQRT(B511^2+C511^2)</f>
        <v>16.0605468285577</v>
      </c>
      <c r="E511" s="32" t="n">
        <f aca="false">20*LOG10(MAX(D511,0.000000000001)/$K$3)</f>
        <v>24.1152065605496</v>
      </c>
    </row>
    <row r="512" customFormat="false" ht="15" hidden="false" customHeight="false" outlineLevel="0" collapsed="false">
      <c r="A512" s="13" t="n">
        <f aca="false">A511+$F$3</f>
        <v>20240</v>
      </c>
      <c r="B512" s="20" t="n">
        <f aca="false">SUMPRODUCT(固有振動数!$Q$6:$Q$22*(1-($A512/固有振動数!$O$6:$O$22)^2)/((1-($A512/固有振動数!$O$6:$O$22)^2)^2+固有振動数!$P$6:$P$22^2))</f>
        <v>16.3060021056926</v>
      </c>
      <c r="C512" s="20" t="n">
        <f aca="false">-SUMPRODUCT(固有振動数!$Q$6:$Q$22*固有振動数!$P$6:$P$22/((1-($A512/固有振動数!$O$6:$O$22)^2)^2+固有振動数!$P$6:$P$22^2))</f>
        <v>-0.0158456766193579</v>
      </c>
      <c r="D512" s="20" t="n">
        <f aca="false">SQRT(B512^2+C512^2)</f>
        <v>16.3060098048639</v>
      </c>
      <c r="E512" s="32" t="n">
        <f aca="false">20*LOG10(MAX(D512,0.000000000001)/$K$3)</f>
        <v>24.2469539826193</v>
      </c>
    </row>
    <row r="513" customFormat="false" ht="15" hidden="false" customHeight="false" outlineLevel="0" collapsed="false">
      <c r="A513" s="13" t="n">
        <f aca="false">A512+$F$3</f>
        <v>20280</v>
      </c>
      <c r="B513" s="20" t="n">
        <f aca="false">SUMPRODUCT(固有振動数!$Q$6:$Q$22*(1-($A513/固有振動数!$O$6:$O$22)^2)/((1-($A513/固有振動数!$O$6:$O$22)^2)^2+固有振動数!$P$6:$P$22^2))</f>
        <v>16.5580905150826</v>
      </c>
      <c r="C513" s="20" t="n">
        <f aca="false">-SUMPRODUCT(固有振動数!$Q$6:$Q$22*固有振動数!$P$6:$P$22/((1-($A513/固有振動数!$O$6:$O$22)^2)^2+固有振動数!$P$6:$P$22^2))</f>
        <v>-0.0162678201052705</v>
      </c>
      <c r="D513" s="20" t="n">
        <f aca="false">SQRT(B513^2+C513^2)</f>
        <v>16.5580985063998</v>
      </c>
      <c r="E513" s="32" t="n">
        <f aca="false">20*LOG10(MAX(D513,0.000000000001)/$K$3)</f>
        <v>24.3802092388407</v>
      </c>
    </row>
    <row r="514" customFormat="false" ht="15" hidden="false" customHeight="false" outlineLevel="0" collapsed="false">
      <c r="A514" s="13" t="n">
        <f aca="false">A513+$F$3</f>
        <v>20320</v>
      </c>
      <c r="B514" s="20" t="n">
        <f aca="false">SUMPRODUCT(固有振動数!$Q$6:$Q$22*(1-($A514/固有振動数!$O$6:$O$22)^2)/((1-($A514/固有振動数!$O$6:$O$22)^2)^2+固有振動数!$P$6:$P$22^2))</f>
        <v>16.8172468534757</v>
      </c>
      <c r="C514" s="20" t="n">
        <f aca="false">-SUMPRODUCT(固有振動数!$Q$6:$Q$22*固有振動数!$P$6:$P$22/((1-($A514/固有振動数!$O$6:$O$22)^2)^2+固有振動数!$P$6:$P$22^2))</f>
        <v>-0.0167160682000987</v>
      </c>
      <c r="D514" s="20" t="n">
        <f aca="false">SQRT(B514^2+C514^2)</f>
        <v>16.8172551612228</v>
      </c>
      <c r="E514" s="32" t="n">
        <f aca="false">20*LOG10(MAX(D514,0.000000000001)/$K$3)</f>
        <v>24.5151022720304</v>
      </c>
    </row>
    <row r="515" customFormat="false" ht="15" hidden="false" customHeight="false" outlineLevel="0" collapsed="false">
      <c r="A515" s="13" t="n">
        <f aca="false">A514+$F$3</f>
        <v>20360</v>
      </c>
      <c r="B515" s="20" t="n">
        <f aca="false">SUMPRODUCT(固有振動数!$Q$6:$Q$22*(1-($A515/固有振動数!$O$6:$O$22)^2)/((1-($A515/固有振動数!$O$6:$O$22)^2)^2+固有振動数!$P$6:$P$22^2))</f>
        <v>17.0839483615415</v>
      </c>
      <c r="C515" s="20" t="n">
        <f aca="false">-SUMPRODUCT(固有振動数!$Q$6:$Q$22*固有振動数!$P$6:$P$22/((1-($A515/固有振動数!$O$6:$O$22)^2)^2+固有振動数!$P$6:$P$22^2))</f>
        <v>-0.0171925343185178</v>
      </c>
      <c r="D515" s="20" t="n">
        <f aca="false">SQRT(B515^2+C515^2)</f>
        <v>17.0839570124445</v>
      </c>
      <c r="E515" s="32" t="n">
        <f aca="false">20*LOG10(MAX(D515,0.000000000001)/$K$3)</f>
        <v>24.6517693992287</v>
      </c>
    </row>
    <row r="516" customFormat="false" ht="15" hidden="false" customHeight="false" outlineLevel="0" collapsed="false">
      <c r="A516" s="13" t="n">
        <f aca="false">A515+$F$3</f>
        <v>20400</v>
      </c>
      <c r="B516" s="20" t="n">
        <f aca="false">SUMPRODUCT(固有振動数!$Q$6:$Q$22*(1-($A516/固有振動数!$O$6:$O$22)^2)/((1-($A516/固有振動数!$O$6:$O$22)^2)^2+固有振動数!$P$6:$P$22^2))</f>
        <v>17.3587113140404</v>
      </c>
      <c r="C516" s="20" t="n">
        <f aca="false">-SUMPRODUCT(固有振動数!$Q$6:$Q$22*固有振動数!$P$6:$P$22/((1-($A516/固有振動数!$O$6:$O$22)^2)^2+固有振動数!$P$6:$P$22^2))</f>
        <v>-0.0176995728308284</v>
      </c>
      <c r="D516" s="20" t="n">
        <f aca="false">SQRT(B516^2+C516^2)</f>
        <v>17.3587203376018</v>
      </c>
      <c r="E516" s="32" t="n">
        <f aca="false">20*LOG10(MAX(D516,0.000000000001)/$K$3)</f>
        <v>24.7903541278667</v>
      </c>
    </row>
    <row r="517" customFormat="false" ht="15" hidden="false" customHeight="false" outlineLevel="0" collapsed="false">
      <c r="A517" s="13" t="n">
        <f aca="false">A516+$F$3</f>
        <v>20440</v>
      </c>
      <c r="B517" s="20" t="n">
        <f aca="false">SUMPRODUCT(固有振動数!$Q$6:$Q$22*(1-($A517/固有振動数!$O$6:$O$22)^2)/((1-($A517/固有振動数!$O$6:$O$22)^2)^2+固有振動数!$P$6:$P$22^2))</f>
        <v>17.6420955925073</v>
      </c>
      <c r="C517" s="20" t="n">
        <f aca="false">-SUMPRODUCT(固有振動数!$Q$6:$Q$22*固有振動数!$P$6:$P$22/((1-($A517/固有振動数!$O$6:$O$22)^2)^2+固有振動数!$P$6:$P$22^2))</f>
        <v>-0.0182398126509844</v>
      </c>
      <c r="D517" s="20" t="n">
        <f aca="false">SQRT(B517^2+C517^2)</f>
        <v>17.642105021395</v>
      </c>
      <c r="E517" s="32" t="n">
        <f aca="false">20*LOG10(MAX(D517,0.000000000001)/$K$3)</f>
        <v>24.931008061079</v>
      </c>
    </row>
    <row r="518" customFormat="false" ht="15" hidden="false" customHeight="false" outlineLevel="0" collapsed="false">
      <c r="A518" s="13" t="n">
        <f aca="false">A517+$F$3</f>
        <v>20480</v>
      </c>
      <c r="B518" s="20" t="n">
        <f aca="false">SUMPRODUCT(固有振動数!$Q$6:$Q$22*(1-($A518/固有振動数!$O$6:$O$22)^2)/((1-($A518/固有振動数!$O$6:$O$22)^2)^2+固有振動数!$P$6:$P$22^2))</f>
        <v>17.9347099051364</v>
      </c>
      <c r="C518" s="20" t="n">
        <f aca="false">-SUMPRODUCT(固有振動数!$Q$6:$Q$22*固有振動数!$P$6:$P$22/((1-($A518/固有振動数!$O$6:$O$22)^2)^2+固有振動数!$P$6:$P$22^2))</f>
        <v>-0.0188161965612968</v>
      </c>
      <c r="D518" s="20" t="n">
        <f aca="false">SQRT(B518^2+C518^2)</f>
        <v>17.9347197756377</v>
      </c>
      <c r="E518" s="32" t="n">
        <f aca="false">20*LOG10(MAX(D518,0.000000000001)/$K$3)</f>
        <v>25.073891907003</v>
      </c>
    </row>
    <row r="519" customFormat="false" ht="15" hidden="false" customHeight="false" outlineLevel="0" collapsed="false">
      <c r="A519" s="13" t="n">
        <f aca="false">A518+$F$3</f>
        <v>20520</v>
      </c>
      <c r="B519" s="20" t="n">
        <f aca="false">SUMPRODUCT(固有振動数!$Q$6:$Q$22*(1-($A519/固有振動数!$O$6:$O$22)^2)/((1-($A519/固有振動数!$O$6:$O$22)^2)^2+固有振動数!$P$6:$P$22^2))</f>
        <v>18.237217766313</v>
      </c>
      <c r="C519" s="20" t="n">
        <f aca="false">-SUMPRODUCT(固有振動数!$Q$6:$Q$22*固有振動数!$P$6:$P$22/((1-($A519/固有振動数!$O$6:$O$22)^2)^2+固有振動数!$P$6:$P$22^2))</f>
        <v>-0.0194320274239732</v>
      </c>
      <c r="D519" s="20" t="n">
        <f aca="false">SQRT(B519^2+C519^2)</f>
        <v>18.2372281188675</v>
      </c>
      <c r="E519" s="32" t="n">
        <f aca="false">20*LOG10(MAX(D519,0.000000000001)/$K$3)</f>
        <v>25.2191766094975</v>
      </c>
    </row>
    <row r="520" customFormat="false" ht="15" hidden="false" customHeight="false" outlineLevel="0" collapsed="false">
      <c r="A520" s="13" t="n">
        <f aca="false">A519+$F$3</f>
        <v>20560</v>
      </c>
      <c r="B520" s="20" t="n">
        <f aca="false">SUMPRODUCT(固有振動数!$Q$6:$Q$22*(1-($A520/固有振動数!$O$6:$O$22)^2)/((1-($A520/固有振動数!$O$6:$O$22)^2)^2+固有振動数!$P$6:$P$22^2))</f>
        <v>18.5503443711275</v>
      </c>
      <c r="C520" s="20" t="n">
        <f aca="false">-SUMPRODUCT(固有振動数!$Q$6:$Q$22*固有振動数!$P$6:$P$22/((1-($A520/固有振動数!$O$6:$O$22)^2)^2+固有振動数!$P$6:$P$22^2))</f>
        <v>-0.0200910226973963</v>
      </c>
      <c r="D520" s="20" t="n">
        <f aca="false">SQRT(B520^2+C520^2)</f>
        <v>18.5503552509545</v>
      </c>
      <c r="E520" s="32" t="n">
        <f aca="false">20*LOG10(MAX(D520,0.000000000001)/$K$3)</f>
        <v>25.3670446208562</v>
      </c>
    </row>
    <row r="521" customFormat="false" ht="15" hidden="false" customHeight="false" outlineLevel="0" collapsed="false">
      <c r="A521" s="13" t="n">
        <f aca="false">A520+$F$3</f>
        <v>20600</v>
      </c>
      <c r="B521" s="20" t="n">
        <f aca="false">SUMPRODUCT(固有振動数!$Q$6:$Q$22*(1-($A521/固有振動数!$O$6:$O$22)^2)/((1-($A521/固有振動数!$O$6:$O$22)^2)^2+固有振動数!$P$6:$P$22^2))</f>
        <v>18.8748845285059</v>
      </c>
      <c r="C521" s="20" t="n">
        <f aca="false">-SUMPRODUCT(固有振動数!$Q$6:$Q$22*固有振動数!$P$6:$P$22/((1-($A521/固有振動数!$O$6:$O$22)^2)^2+固有振動数!$P$6:$P$22^2))</f>
        <v>-0.02079737901399</v>
      </c>
      <c r="D521" s="20" t="n">
        <f aca="false">SQRT(B521^2+C521^2)</f>
        <v>18.8748959863466</v>
      </c>
      <c r="E521" s="32" t="n">
        <f aca="false">20*LOG10(MAX(D521,0.000000000001)/$K$3)</f>
        <v>25.517691340933</v>
      </c>
    </row>
    <row r="522" customFormat="false" ht="15" hidden="false" customHeight="false" outlineLevel="0" collapsed="false">
      <c r="A522" s="13" t="n">
        <f aca="false">A521+$F$3</f>
        <v>20640</v>
      </c>
      <c r="B522" s="20" t="n">
        <f aca="false">SUMPRODUCT(固有振動数!$Q$6:$Q$22*(1-($A522/固有振動数!$O$6:$O$22)^2)/((1-($A522/固有振動数!$O$6:$O$22)^2)^2+固有振動数!$P$6:$P$22^2))</f>
        <v>19.2117118517596</v>
      </c>
      <c r="C522" s="20" t="n">
        <f aca="false">-SUMPRODUCT(固有振動数!$Q$6:$Q$22*固有振動数!$P$6:$P$22/((1-($A522/固有振動数!$O$6:$O$22)^2)^2+固有振動数!$P$6:$P$22^2))</f>
        <v>-0.021555849008072</v>
      </c>
      <c r="D522" s="20" t="n">
        <f aca="false">SQRT(B522^2+C522^2)</f>
        <v>19.2117239447601</v>
      </c>
      <c r="E522" s="32" t="n">
        <f aca="false">20*LOG10(MAX(D522,0.000000000001)/$K$3)</f>
        <v>25.6713267517924</v>
      </c>
    </row>
    <row r="523" customFormat="false" ht="15" hidden="false" customHeight="false" outlineLevel="0" collapsed="false">
      <c r="A523" s="13" t="n">
        <f aca="false">A522+$F$3</f>
        <v>20680</v>
      </c>
      <c r="B523" s="20" t="n">
        <f aca="false">SUMPRODUCT(固有振動数!$Q$6:$Q$22*(1-($A523/固有振動数!$O$6:$O$22)^2)/((1-($A523/固有振動数!$O$6:$O$22)^2)^2+固有振動数!$P$6:$P$22^2))</f>
        <v>19.561789449307</v>
      </c>
      <c r="C523" s="20" t="n">
        <f aca="false">-SUMPRODUCT(固有振動数!$Q$6:$Q$22*固有振動数!$P$6:$P$22/((1-($A523/固有振動数!$O$6:$O$22)^2)^2+固有振動数!$P$6:$P$22^2))</f>
        <v>-0.0223718331349275</v>
      </c>
      <c r="D523" s="20" t="n">
        <f aca="false">SQRT(B523^2+C523^2)</f>
        <v>19.5618022420721</v>
      </c>
      <c r="E523" s="32" t="n">
        <f aca="false">20*LOG10(MAX(D523,0.000000000001)/$K$3)</f>
        <v>25.8281772827846</v>
      </c>
    </row>
    <row r="524" customFormat="false" ht="15" hidden="false" customHeight="false" outlineLevel="0" collapsed="false">
      <c r="A524" s="13" t="n">
        <f aca="false">A523+$F$3</f>
        <v>20720</v>
      </c>
      <c r="B524" s="20" t="n">
        <f aca="false">SUMPRODUCT(固有振動数!$Q$6:$Q$22*(1-($A524/固有振動数!$O$6:$O$22)^2)/((1-($A524/固有振動数!$O$6:$O$22)^2)^2+固有振動数!$P$6:$P$22^2))</f>
        <v>19.9261824135497</v>
      </c>
      <c r="C524" s="20" t="n">
        <f aca="false">-SUMPRODUCT(固有振動数!$Q$6:$Q$22*固有振動数!$P$6:$P$22/((1-($A524/固有振動数!$O$6:$O$22)^2)^2+固有振動数!$P$6:$P$22^2))</f>
        <v>-0.0232514899350626</v>
      </c>
      <c r="D524" s="20" t="n">
        <f aca="false">SQRT(B524^2+C524^2)</f>
        <v>19.9261959794097</v>
      </c>
      <c r="E524" s="32" t="n">
        <f aca="false">20*LOG10(MAX(D524,0.000000000001)/$K$3)</f>
        <v>25.9884879480835</v>
      </c>
    </row>
    <row r="525" customFormat="false" ht="15" hidden="false" customHeight="false" outlineLevel="0" collapsed="false">
      <c r="A525" s="13" t="n">
        <f aca="false">A524+$F$3</f>
        <v>20760</v>
      </c>
      <c r="B525" s="20" t="n">
        <f aca="false">SUMPRODUCT(固有振動数!$Q$6:$Q$22*(1-($A525/固有振動数!$O$6:$O$22)^2)/((1-($A525/固有振動数!$O$6:$O$22)^2)^2+固有振動数!$P$6:$P$22^2))</f>
        <v>20.3060724757213</v>
      </c>
      <c r="C525" s="20" t="n">
        <f aca="false">-SUMPRODUCT(固有振動数!$Q$6:$Q$22*固有振動数!$P$6:$P$22/((1-($A525/固有振動数!$O$6:$O$22)^2)^2+固有振動数!$P$6:$P$22^2))</f>
        <v>-0.0242018691226626</v>
      </c>
      <c r="D525" s="20" t="n">
        <f aca="false">SQRT(B525^2+C525^2)</f>
        <v>20.3060868982607</v>
      </c>
      <c r="E525" s="32" t="n">
        <f aca="false">20*LOG10(MAX(D525,0.000000000001)/$K$3)</f>
        <v>26.1525248076059</v>
      </c>
    </row>
    <row r="526" customFormat="false" ht="15" hidden="false" customHeight="false" outlineLevel="0" collapsed="false">
      <c r="A526" s="13" t="n">
        <f aca="false">A525+$F$3</f>
        <v>20800</v>
      </c>
      <c r="B526" s="20" t="n">
        <f aca="false">SUMPRODUCT(固有振動数!$Q$6:$Q$22*(1-($A526/固有振動数!$O$6:$O$22)^2)/((1-($A526/固有振動数!$O$6:$O$22)^2)^2+固有振動数!$P$6:$P$22^2))</f>
        <v>20.7027752833844</v>
      </c>
      <c r="C526" s="20" t="n">
        <f aca="false">-SUMPRODUCT(固有振動数!$Q$6:$Q$22*固有振動数!$P$6:$P$22/((1-($A526/固有振動数!$O$6:$O$22)^2)^2+固有振動数!$P$6:$P$22^2))</f>
        <v>-0.0252310730864721</v>
      </c>
      <c r="D526" s="20" t="n">
        <f aca="false">SQRT(B526^2+C526^2)</f>
        <v>20.7027906582992</v>
      </c>
      <c r="E526" s="32" t="n">
        <f aca="false">20*LOG10(MAX(D526,0.000000000001)/$K$3)</f>
        <v>26.3205778133048</v>
      </c>
    </row>
    <row r="527" customFormat="false" ht="15" hidden="false" customHeight="false" outlineLevel="0" collapsed="false">
      <c r="A527" s="13" t="n">
        <f aca="false">A526+$F$3</f>
        <v>20840</v>
      </c>
      <c r="B527" s="20" t="n">
        <f aca="false">SUMPRODUCT(固有振動数!$Q$6:$Q$22*(1-($A527/固有振動数!$O$6:$O$22)^2)/((1-($A527/固有振動数!$O$6:$O$22)^2)^2+固有振動数!$P$6:$P$22^2))</f>
        <v>21.1177608710827</v>
      </c>
      <c r="C527" s="20" t="n">
        <f aca="false">-SUMPRODUCT(固有振動数!$Q$6:$Q$22*固有振動数!$P$6:$P$22/((1-($A527/固有振動数!$O$6:$O$22)^2)^2+固有振動数!$P$6:$P$22^2))</f>
        <v>-0.0263484539837536</v>
      </c>
      <c r="D527" s="20" t="n">
        <f aca="false">SQRT(B527^2+C527^2)</f>
        <v>21.1177773084494</v>
      </c>
      <c r="E527" s="32" t="n">
        <f aca="false">20*LOG10(MAX(D527,0.000000000001)/$K$3)</f>
        <v>26.492964116749</v>
      </c>
    </row>
    <row r="528" customFormat="false" ht="15" hidden="false" customHeight="false" outlineLevel="0" collapsed="false">
      <c r="A528" s="13" t="n">
        <f aca="false">A527+$F$3</f>
        <v>20880</v>
      </c>
      <c r="B528" s="20" t="n">
        <f aca="false">SUMPRODUCT(固有振動数!$Q$6:$Q$22*(1-($A528/固有振動数!$O$6:$O$22)^2)/((1-($A528/固有振動数!$O$6:$O$22)^2)^2+固有振動数!$P$6:$P$22^2))</f>
        <v>21.5526780415113</v>
      </c>
      <c r="C528" s="20" t="n">
        <f aca="false">-SUMPRODUCT(固有振動数!$Q$6:$Q$22*固有振動数!$P$6:$P$22/((1-($A528/固有振動数!$O$6:$O$22)^2)^2+固有振動数!$P$6:$P$22^2))</f>
        <v>-0.0275648557217729</v>
      </c>
      <c r="D528" s="20" t="n">
        <f aca="false">SQRT(B528^2+C528^2)</f>
        <v>21.5526956685774</v>
      </c>
      <c r="E528" s="32" t="n">
        <f aca="false">20*LOG10(MAX(D528,0.000000000001)/$K$3)</f>
        <v>26.6700319314873</v>
      </c>
    </row>
    <row r="529" customFormat="false" ht="15" hidden="false" customHeight="false" outlineLevel="0" collapsed="false">
      <c r="A529" s="13" t="n">
        <f aca="false">A528+$F$3</f>
        <v>20920</v>
      </c>
      <c r="B529" s="20" t="n">
        <f aca="false">SUMPRODUCT(固有振動数!$Q$6:$Q$22*(1-($A529/固有振動数!$O$6:$O$22)^2)/((1-($A529/固有振動数!$O$6:$O$22)^2)^2+固有振動数!$P$6:$P$22^2))</f>
        <v>22.0093835654647</v>
      </c>
      <c r="C529" s="20" t="n">
        <f aca="false">-SUMPRODUCT(固有振動数!$Q$6:$Q$22*固有振動数!$P$6:$P$22/((1-($A529/固有振動数!$O$6:$O$22)^2)^2+固有振動数!$P$6:$P$22^2))</f>
        <v>-0.0288929129506276</v>
      </c>
      <c r="D529" s="20" t="n">
        <f aca="false">SQRT(B529^2+C529^2)</f>
        <v>22.0094025301044</v>
      </c>
      <c r="E529" s="32" t="n">
        <f aca="false">20*LOG10(MAX(D529,0.000000000001)/$K$3)</f>
        <v>26.8521650660596</v>
      </c>
    </row>
    <row r="530" customFormat="false" ht="15" hidden="false" customHeight="false" outlineLevel="0" collapsed="false">
      <c r="A530" s="13" t="n">
        <f aca="false">A529+$F$3</f>
        <v>20960</v>
      </c>
      <c r="B530" s="20" t="n">
        <f aca="false">SUMPRODUCT(固有振動数!$Q$6:$Q$22*(1-($A530/固有振動数!$O$6:$O$22)^2)/((1-($A530/固有振動数!$O$6:$O$22)^2)^2+固有振動数!$P$6:$P$22^2))</f>
        <v>22.4899773589531</v>
      </c>
      <c r="C530" s="20" t="n">
        <f aca="false">-SUMPRODUCT(固有振動数!$Q$6:$Q$22*固有振動数!$P$6:$P$22/((1-($A530/固有振動数!$O$6:$O$22)^2)^2+固有振動数!$P$6:$P$22^2))</f>
        <v>-0.0303474230121596</v>
      </c>
      <c r="D530" s="20" t="n">
        <f aca="false">SQRT(B530^2+C530^2)</f>
        <v>22.4899978339774</v>
      </c>
      <c r="E530" s="32" t="n">
        <f aca="false">20*LOG10(MAX(D530,0.000000000001)/$K$3)</f>
        <v>27.0397882721704</v>
      </c>
    </row>
    <row r="531" customFormat="false" ht="15" hidden="false" customHeight="false" outlineLevel="0" collapsed="false">
      <c r="A531" s="13" t="n">
        <f aca="false">A530+$F$3</f>
        <v>21000</v>
      </c>
      <c r="B531" s="20" t="n">
        <f aca="false">SUMPRODUCT(固有振動数!$Q$6:$Q$22*(1-($A531/固有振動数!$O$6:$O$22)^2)/((1-($A531/固有振動数!$O$6:$O$22)^2)^2+固有振動数!$P$6:$P$22^2))</f>
        <v>22.9968451264067</v>
      </c>
      <c r="C531" s="20" t="n">
        <f aca="false">-SUMPRODUCT(固有振動数!$Q$6:$Q$22*固有振動数!$P$6:$P$22/((1-($A531/固有振動数!$O$6:$O$22)^2)^2+固有振動数!$P$6:$P$22^2))</f>
        <v>-0.0319458119985102</v>
      </c>
      <c r="D531" s="20" t="n">
        <f aca="false">SQRT(B531^2+C531^2)</f>
        <v>22.996867314981</v>
      </c>
      <c r="E531" s="32" t="n">
        <f aca="false">20*LOG10(MAX(D531,0.000000000001)/$K$3)</f>
        <v>27.2333735895007</v>
      </c>
    </row>
    <row r="532" customFormat="false" ht="15" hidden="false" customHeight="false" outlineLevel="0" collapsed="false">
      <c r="A532" s="13" t="n">
        <f aca="false">A531+$F$3</f>
        <v>21040</v>
      </c>
      <c r="B532" s="20" t="n">
        <f aca="false">SUMPRODUCT(固有振動数!$Q$6:$Q$22*(1-($A532/固有振動数!$O$6:$O$22)^2)/((1-($A532/固有振動数!$O$6:$O$22)^2)^2+固有振動数!$P$6:$P$22^2))</f>
        <v>23.532710399621</v>
      </c>
      <c r="C532" s="20" t="n">
        <f aca="false">-SUMPRODUCT(固有振動数!$Q$6:$Q$22*固有振動数!$P$6:$P$22/((1-($A532/固有振動数!$O$6:$O$22)^2)^2+固有振動数!$P$6:$P$22^2))</f>
        <v>-0.033708723246287</v>
      </c>
      <c r="D532" s="20" t="n">
        <f aca="false">SQRT(B532^2+C532^2)</f>
        <v>23.532734542132</v>
      </c>
      <c r="E532" s="32" t="n">
        <f aca="false">20*LOG10(MAX(D532,0.000000000001)/$K$3)</f>
        <v>27.4334479167082</v>
      </c>
    </row>
    <row r="533" customFormat="false" ht="15" hidden="false" customHeight="false" outlineLevel="0" collapsed="false">
      <c r="A533" s="13" t="n">
        <f aca="false">A532+$F$3</f>
        <v>21080</v>
      </c>
      <c r="B533" s="20" t="n">
        <f aca="false">SUMPRODUCT(固有振動数!$Q$6:$Q$22*(1-($A533/固有振動数!$O$6:$O$22)^2)/((1-($A533/固有振動数!$O$6:$O$22)^2)^2+固有振動数!$P$6:$P$22^2))</f>
        <v>24.1006984954537</v>
      </c>
      <c r="C533" s="20" t="n">
        <f aca="false">-SUMPRODUCT(固有振動数!$Q$6:$Q$22*固有振動数!$P$6:$P$22/((1-($A533/固有振動数!$O$6:$O$22)^2)^2+固有振動数!$P$6:$P$22^2))</f>
        <v>-0.035660766574808</v>
      </c>
      <c r="D533" s="20" t="n">
        <f aca="false">SQRT(B533^2+C533^2)</f>
        <v>24.1007248782903</v>
      </c>
      <c r="E533" s="32" t="n">
        <f aca="false">20*LOG10(MAX(D533,0.000000000001)/$K$3)</f>
        <v>27.6406021012129</v>
      </c>
    </row>
    <row r="534" customFormat="false" ht="15" hidden="false" customHeight="false" outlineLevel="0" collapsed="false">
      <c r="A534" s="13" t="n">
        <f aca="false">A533+$F$3</f>
        <v>21120</v>
      </c>
      <c r="B534" s="20" t="n">
        <f aca="false">SUMPRODUCT(固有振動数!$Q$6:$Q$22*(1-($A534/固有振動数!$O$6:$O$22)^2)/((1-($A534/固有振動数!$O$6:$O$22)^2)^2+固有振動数!$P$6:$P$22^2))</f>
        <v>24.704415722384</v>
      </c>
      <c r="C534" s="20" t="n">
        <f aca="false">-SUMPRODUCT(固有振動数!$Q$6:$Q$22*固有振動数!$P$6:$P$22/((1-($A534/固有振動数!$O$6:$O$22)^2)^2+固有振動数!$P$6:$P$22^2))</f>
        <v>-0.0378314806303442</v>
      </c>
      <c r="D534" s="20" t="n">
        <f aca="false">SQRT(B534^2+C534^2)</f>
        <v>24.704444689272</v>
      </c>
      <c r="E534" s="32" t="n">
        <f aca="false">20*LOG10(MAX(D534,0.000000000001)/$K$3)</f>
        <v>27.8555019237919</v>
      </c>
    </row>
    <row r="535" customFormat="false" ht="15" hidden="false" customHeight="false" outlineLevel="0" collapsed="false">
      <c r="A535" s="13" t="n">
        <f aca="false">A534+$F$3</f>
        <v>21160</v>
      </c>
      <c r="B535" s="20" t="n">
        <f aca="false">SUMPRODUCT(固有振動数!$Q$6:$Q$22*(1-($A535/固有振動数!$O$6:$O$22)^2)/((1-($A535/固有振動数!$O$6:$O$22)^2)^2+固有振動数!$P$6:$P$22^2))</f>
        <v>25.348048276041</v>
      </c>
      <c r="C535" s="20" t="n">
        <f aca="false">-SUMPRODUCT(固有振動数!$Q$6:$Q$22*固有振動数!$P$6:$P$22/((1-($A535/固有振動数!$O$6:$O$22)^2)^2+固有振動数!$P$6:$P$22^2))</f>
        <v>-0.0402565807270443</v>
      </c>
      <c r="D535" s="20" t="n">
        <f aca="false">SQRT(B535^2+C535^2)</f>
        <v>25.348080242827</v>
      </c>
      <c r="E535" s="32" t="n">
        <f aca="false">20*LOG10(MAX(D535,0.000000000001)/$K$3)</f>
        <v>28.0789014654833</v>
      </c>
    </row>
    <row r="536" customFormat="false" ht="15" hidden="false" customHeight="false" outlineLevel="0" collapsed="false">
      <c r="A536" s="13" t="n">
        <f aca="false">A535+$F$3</f>
        <v>21200</v>
      </c>
      <c r="B536" s="20" t="n">
        <f aca="false">SUMPRODUCT(固有振動数!$Q$6:$Q$22*(1-($A536/固有振動数!$O$6:$O$22)^2)/((1-($A536/固有振動数!$O$6:$O$22)^2)^2+固有振動数!$P$6:$P$22^2))</f>
        <v>26.0364868085831</v>
      </c>
      <c r="C536" s="20" t="n">
        <f aca="false">-SUMPRODUCT(固有振動数!$Q$6:$Q$22*固有振動数!$P$6:$P$22/((1-($A536/固有振動数!$O$6:$O$22)^2)^2+固有振動数!$P$6:$P$22^2))</f>
        <v>-0.0429795934987511</v>
      </c>
      <c r="D536" s="20" t="n">
        <f aca="false">SQRT(B536^2+C536^2)</f>
        <v>26.0365222827277</v>
      </c>
      <c r="E536" s="32" t="n">
        <f aca="false">20*LOG10(MAX(D536,0.000000000001)/$K$3)</f>
        <v>28.3116594947849</v>
      </c>
    </row>
    <row r="537" customFormat="false" ht="15" hidden="false" customHeight="false" outlineLevel="0" collapsed="false">
      <c r="A537" s="13" t="n">
        <f aca="false">A536+$F$3</f>
        <v>21240</v>
      </c>
      <c r="B537" s="20" t="n">
        <f aca="false">SUMPRODUCT(固有振動数!$Q$6:$Q$22*(1-($A537/固有振動数!$O$6:$O$22)^2)/((1-($A537/固有振動数!$O$6:$O$22)^2)^2+固有振動数!$P$6:$P$22^2))</f>
        <v>26.7754848342475</v>
      </c>
      <c r="C537" s="20" t="n">
        <f aca="false">-SUMPRODUCT(固有振動数!$Q$6:$Q$22*固有振動数!$P$6:$P$22/((1-($A537/固有振動数!$O$6:$O$22)^2)^2+固有振動数!$P$6:$P$22^2))</f>
        <v>-0.0460540220420676</v>
      </c>
      <c r="D537" s="20" t="n">
        <f aca="false">SQRT(B537^2+C537^2)</f>
        <v>26.775524440839</v>
      </c>
      <c r="E537" s="32" t="n">
        <f aca="false">20*LOG10(MAX(D537,0.000000000001)/$K$3)</f>
        <v>28.5547597185797</v>
      </c>
    </row>
    <row r="538" customFormat="false" ht="15" hidden="false" customHeight="false" outlineLevel="0" collapsed="false">
      <c r="A538" s="13" t="n">
        <f aca="false">A537+$F$3</f>
        <v>21280</v>
      </c>
      <c r="B538" s="20" t="n">
        <f aca="false">SUMPRODUCT(固有振動数!$Q$6:$Q$22*(1-($A538/固有振動数!$O$6:$O$22)^2)/((1-($A538/固有振動数!$O$6:$O$22)^2)^2+固有振動数!$P$6:$P$22^2))</f>
        <v>27.571862245249</v>
      </c>
      <c r="C538" s="20" t="n">
        <f aca="false">-SUMPRODUCT(固有振動数!$Q$6:$Q$22*固有振動数!$P$6:$P$22/((1-($A538/固有振動数!$O$6:$O$22)^2)^2+固有振動数!$P$6:$P$22^2))</f>
        <v>-0.0495462482480573</v>
      </c>
      <c r="D538" s="20" t="n">
        <f aca="false">SQRT(B538^2+C538^2)</f>
        <v>27.5719067621683</v>
      </c>
      <c r="E538" s="32" t="n">
        <f aca="false">20*LOG10(MAX(D538,0.000000000001)/$K$3)</f>
        <v>28.8093360240766</v>
      </c>
    </row>
    <row r="539" customFormat="false" ht="15" hidden="false" customHeight="false" outlineLevel="0" collapsed="false">
      <c r="A539" s="13" t="n">
        <f aca="false">A538+$F$3</f>
        <v>21320</v>
      </c>
      <c r="B539" s="20" t="n">
        <f aca="false">SUMPRODUCT(固有振動数!$Q$6:$Q$22*(1-($A539/固有振動数!$O$6:$O$22)^2)/((1-($A539/固有振動数!$O$6:$O$22)^2)^2+固有振動数!$P$6:$P$22^2))</f>
        <v>28.4337697264623</v>
      </c>
      <c r="C539" s="20" t="n">
        <f aca="false">-SUMPRODUCT(固有振動数!$Q$6:$Q$22*固有振動数!$P$6:$P$22/((1-($A539/固有振動数!$O$6:$O$22)^2)^2+固有振動数!$P$6:$P$22^2))</f>
        <v>-0.0535394743286687</v>
      </c>
      <c r="D539" s="20" t="n">
        <f aca="false">SQRT(B539^2+C539^2)</f>
        <v>28.4338201325955</v>
      </c>
      <c r="E539" s="32" t="n">
        <f aca="false">20*LOG10(MAX(D539,0.000000000001)/$K$3)</f>
        <v>29.0767042364064</v>
      </c>
    </row>
    <row r="540" customFormat="false" ht="15" hidden="false" customHeight="false" outlineLevel="0" collapsed="false">
      <c r="A540" s="13" t="n">
        <f aca="false">A539+$F$3</f>
        <v>21360</v>
      </c>
      <c r="B540" s="20" t="n">
        <f aca="false">SUMPRODUCT(固有振動数!$Q$6:$Q$22*(1-($A540/固有振動数!$O$6:$O$22)^2)/((1-($A540/固有振動数!$O$6:$O$22)^2)^2+固有振動数!$P$6:$P$22^2))</f>
        <v>29.3710365134222</v>
      </c>
      <c r="C540" s="20" t="n">
        <f aca="false">-SUMPRODUCT(固有振動数!$Q$6:$Q$22*固有振動数!$P$6:$P$22/((1-($A540/固有振動数!$O$6:$O$22)^2)^2+固有振動数!$P$6:$P$22^2))</f>
        <v>-0.0581391523295789</v>
      </c>
      <c r="D540" s="20" t="n">
        <f aca="false">SQRT(B540^2+C540^2)</f>
        <v>29.3710940557858</v>
      </c>
      <c r="E540" s="32" t="n">
        <f aca="false">20*LOG10(MAX(D540,0.000000000001)/$K$3)</f>
        <v>29.3584024807054</v>
      </c>
    </row>
    <row r="541" customFormat="false" ht="15" hidden="false" customHeight="false" outlineLevel="0" collapsed="false">
      <c r="A541" s="13" t="n">
        <f aca="false">A540+$F$3</f>
        <v>21400</v>
      </c>
      <c r="B541" s="20" t="n">
        <f aca="false">SUMPRODUCT(固有振動数!$Q$6:$Q$22*(1-($A541/固有振動数!$O$6:$O$22)^2)/((1-($A541/固有振動数!$O$6:$O$22)^2)^2+固有振動数!$P$6:$P$22^2))</f>
        <v>30.395633928338</v>
      </c>
      <c r="C541" s="20" t="n">
        <f aca="false">-SUMPRODUCT(固有振動数!$Q$6:$Q$22*固有振動数!$P$6:$P$22/((1-($A541/固有振動数!$O$6:$O$22)^2)^2+固有振動数!$P$6:$P$22^2))</f>
        <v>-0.0634805810119512</v>
      </c>
      <c r="D541" s="20" t="n">
        <f aca="false">SQRT(B541^2+C541^2)</f>
        <v>30.395700217131</v>
      </c>
      <c r="E541" s="32" t="n">
        <f aca="false">20*LOG10(MAX(D541,0.000000000001)/$K$3)</f>
        <v>29.6562430510918</v>
      </c>
    </row>
    <row r="542" customFormat="false" ht="15" hidden="false" customHeight="false" outlineLevel="0" collapsed="false">
      <c r="A542" s="13" t="n">
        <f aca="false">A541+$F$3</f>
        <v>21440</v>
      </c>
      <c r="B542" s="20" t="n">
        <f aca="false">SUMPRODUCT(固有振動数!$Q$6:$Q$22*(1-($A542/固有振動数!$O$6:$O$22)^2)/((1-($A542/固有振動数!$O$6:$O$22)^2)^2+固有振動数!$P$6:$P$22^2))</f>
        <v>31.5223024183421</v>
      </c>
      <c r="C542" s="20" t="n">
        <f aca="false">-SUMPRODUCT(固有振動数!$Q$6:$Q$22*固有振動数!$P$6:$P$22/((1-($A542/固有振動数!$O$6:$O$22)^2)^2+固有振動数!$P$6:$P$22^2))</f>
        <v>-0.0697397196954881</v>
      </c>
      <c r="D542" s="20" t="n">
        <f aca="false">SQRT(B542^2+C542^2)</f>
        <v>31.5223795640799</v>
      </c>
      <c r="E542" s="32" t="n">
        <f aca="false">20*LOG10(MAX(D542,0.000000000001)/$K$3)</f>
        <v>29.9723798822782</v>
      </c>
    </row>
    <row r="543" customFormat="false" ht="15" hidden="false" customHeight="false" outlineLevel="0" collapsed="false">
      <c r="A543" s="13" t="n">
        <f aca="false">A542+$F$3</f>
        <v>21480</v>
      </c>
      <c r="B543" s="20" t="n">
        <f aca="false">SUMPRODUCT(固有振動数!$Q$6:$Q$22*(1-($A543/固有振動数!$O$6:$O$22)^2)/((1-($A543/固有振動数!$O$6:$O$22)^2)^2+固有振動数!$P$6:$P$22^2))</f>
        <v>32.7694137285843</v>
      </c>
      <c r="C543" s="20" t="n">
        <f aca="false">-SUMPRODUCT(固有振動数!$Q$6:$Q$22*固有振動数!$P$6:$P$22/((1-($A543/固有振動数!$O$6:$O$22)^2)^2+固有振動数!$P$6:$P$22^2))</f>
        <v>-0.0771488774533611</v>
      </c>
      <c r="D543" s="20" t="n">
        <f aca="false">SQRT(B543^2+C543^2)</f>
        <v>32.7695045440791</v>
      </c>
      <c r="E543" s="32" t="n">
        <f aca="false">20*LOG10(MAX(D543,0.000000000001)/$K$3)</f>
        <v>30.3093975030219</v>
      </c>
    </row>
    <row r="544" customFormat="false" ht="15" hidden="false" customHeight="false" outlineLevel="0" collapsed="false">
      <c r="A544" s="13" t="n">
        <f aca="false">A543+$F$3</f>
        <v>21520</v>
      </c>
      <c r="B544" s="20" t="n">
        <f aca="false">SUMPRODUCT(固有振動数!$Q$6:$Q$22*(1-($A544/固有振動数!$O$6:$O$22)^2)/((1-($A544/固有振動数!$O$6:$O$22)^2)^2+固有振動数!$P$6:$P$22^2))</f>
        <v>34.1601781297507</v>
      </c>
      <c r="C544" s="20" t="n">
        <f aca="false">-SUMPRODUCT(固有振動数!$Q$6:$Q$22*固有振動数!$P$6:$P$22/((1-($A544/固有振動数!$O$6:$O$22)^2)^2+固有振動数!$P$6:$P$22^2))</f>
        <v>-0.0860199641873338</v>
      </c>
      <c r="D544" s="20" t="n">
        <f aca="false">SQRT(B544^2+C544^2)</f>
        <v>34.1602864345505</v>
      </c>
      <c r="E544" s="32" t="n">
        <f aca="false">20*LOG10(MAX(D544,0.000000000001)/$K$3)</f>
        <v>30.6704300719689</v>
      </c>
    </row>
    <row r="545" customFormat="false" ht="15" hidden="false" customHeight="false" outlineLevel="0" collapsed="false">
      <c r="A545" s="13" t="n">
        <f aca="false">A544+$F$3</f>
        <v>21560</v>
      </c>
      <c r="B545" s="20" t="n">
        <f aca="false">SUMPRODUCT(固有振動数!$Q$6:$Q$22*(1-($A545/固有振動数!$O$6:$O$22)^2)/((1-($A545/固有振動数!$O$6:$O$22)^2)^2+固有振動数!$P$6:$P$22^2))</f>
        <v>35.7243695820693</v>
      </c>
      <c r="C545" s="20" t="n">
        <f aca="false">-SUMPRODUCT(固有振動数!$Q$6:$Q$22*固有振動数!$P$6:$P$22/((1-($A545/固有振動数!$O$6:$O$22)^2)^2+固有振動数!$P$6:$P$22^2))</f>
        <v>-0.0967797787188073</v>
      </c>
      <c r="D545" s="20" t="n">
        <f aca="false">SQRT(B545^2+C545^2)</f>
        <v>35.7245006733733</v>
      </c>
      <c r="E545" s="32" t="n">
        <f aca="false">20*LOG10(MAX(D545,0.000000000001)/$K$3)</f>
        <v>31.0593233461452</v>
      </c>
    </row>
    <row r="546" customFormat="false" ht="15" hidden="false" customHeight="false" outlineLevel="0" collapsed="false">
      <c r="A546" s="13" t="n">
        <f aca="false">A545+$F$3</f>
        <v>21600</v>
      </c>
      <c r="B546" s="20" t="n">
        <f aca="false">SUMPRODUCT(固有振動数!$Q$6:$Q$22*(1-($A546/固有振動数!$O$6:$O$22)^2)/((1-($A546/固有振動数!$O$6:$O$22)^2)^2+固有振動数!$P$6:$P$22^2))</f>
        <v>37.5008483899541</v>
      </c>
      <c r="C546" s="20" t="n">
        <f aca="false">-SUMPRODUCT(固有振動数!$Q$6:$Q$22*固有振動数!$P$6:$P$22/((1-($A546/固有振動数!$O$6:$O$22)^2)^2+固有振動数!$P$6:$P$22^2))</f>
        <v>-0.110025026016418</v>
      </c>
      <c r="D546" s="20" t="n">
        <f aca="false">SQRT(B546^2+C546^2)</f>
        <v>37.5010097927066</v>
      </c>
      <c r="E546" s="32" t="n">
        <f aca="false">20*LOG10(MAX(D546,0.000000000001)/$K$3)</f>
        <v>31.4808592433522</v>
      </c>
    </row>
    <row r="547" customFormat="false" ht="15" hidden="false" customHeight="false" outlineLevel="0" collapsed="false">
      <c r="A547" s="13" t="n">
        <f aca="false">A546+$F$3</f>
        <v>21640</v>
      </c>
      <c r="B547" s="20" t="n">
        <f aca="false">SUMPRODUCT(固有振動数!$Q$6:$Q$22*(1-($A547/固有振動数!$O$6:$O$22)^2)/((1-($A547/固有振動数!$O$6:$O$22)^2)^2+固有振動数!$P$6:$P$22^2))</f>
        <v>39.54134781787</v>
      </c>
      <c r="C547" s="20" t="n">
        <f aca="false">-SUMPRODUCT(固有振動数!$Q$6:$Q$22*固有振動数!$P$6:$P$22/((1-($A547/固有振動数!$O$6:$O$22)^2)^2+固有振動数!$P$6:$P$22^2))</f>
        <v>-0.126610764067995</v>
      </c>
      <c r="D547" s="20" t="n">
        <f aca="false">SQRT(B547^2+C547^2)</f>
        <v>39.5415505201724</v>
      </c>
      <c r="E547" s="32" t="n">
        <f aca="false">20*LOG10(MAX(D547,0.000000000001)/$K$3)</f>
        <v>31.9410739010464</v>
      </c>
    </row>
    <row r="548" customFormat="false" ht="15" hidden="false" customHeight="false" outlineLevel="0" collapsed="false">
      <c r="A548" s="13" t="n">
        <f aca="false">A547+$F$3</f>
        <v>21680</v>
      </c>
      <c r="B548" s="20" t="n">
        <f aca="false">SUMPRODUCT(固有振動数!$Q$6:$Q$22*(1-($A548/固有振動数!$O$6:$O$22)^2)/((1-($A548/固有振動数!$O$6:$O$22)^2)^2+固有振動数!$P$6:$P$22^2))</f>
        <v>41.9163314883362</v>
      </c>
      <c r="C548" s="20" t="n">
        <f aca="false">-SUMPRODUCT(固有振動数!$Q$6:$Q$22*固有振動数!$P$6:$P$22/((1-($A548/固有振動数!$O$6:$O$22)^2)^2+固有振動数!$P$6:$P$22^2))</f>
        <v>-0.147797696428914</v>
      </c>
      <c r="D548" s="20" t="n">
        <f aca="false">SQRT(B548^2+C548^2)</f>
        <v>41.9165920561196</v>
      </c>
      <c r="E548" s="32" t="n">
        <f aca="false">20*LOG10(MAX(D548,0.000000000001)/$K$3)</f>
        <v>32.4477193195007</v>
      </c>
    </row>
    <row r="549" customFormat="false" ht="15" hidden="false" customHeight="false" outlineLevel="0" collapsed="false">
      <c r="A549" s="13" t="n">
        <f aca="false">A548+$F$3</f>
        <v>21720</v>
      </c>
      <c r="B549" s="20" t="n">
        <f aca="false">SUMPRODUCT(固有振動数!$Q$6:$Q$22*(1-($A549/固有振動数!$O$6:$O$22)^2)/((1-($A549/固有振動数!$O$6:$O$22)^2)^2+固有振動数!$P$6:$P$22^2))</f>
        <v>44.7243761554277</v>
      </c>
      <c r="C549" s="20" t="n">
        <f aca="false">-SUMPRODUCT(固有振動数!$Q$6:$Q$22*固有振動数!$P$6:$P$22/((1-($A549/固有振動数!$O$6:$O$22)^2)^2+固有振動数!$P$6:$P$22^2))</f>
        <v>-0.175507733067335</v>
      </c>
      <c r="D549" s="20" t="n">
        <f aca="false">SQRT(B549^2+C549^2)</f>
        <v>44.7247205184846</v>
      </c>
      <c r="E549" s="32" t="n">
        <f aca="false">20*LOG10(MAX(D549,0.000000000001)/$K$3)</f>
        <v>33.0109527074672</v>
      </c>
    </row>
    <row r="550" customFormat="false" ht="15" hidden="false" customHeight="false" outlineLevel="0" collapsed="false">
      <c r="A550" s="13" t="n">
        <f aca="false">A549+$F$3</f>
        <v>21760</v>
      </c>
      <c r="B550" s="20" t="n">
        <f aca="false">SUMPRODUCT(固有振動数!$Q$6:$Q$22*(1-($A550/固有振動数!$O$6:$O$22)^2)/((1-($A550/固有振動数!$O$6:$O$22)^2)^2+固有振動数!$P$6:$P$22^2))</f>
        <v>48.1078325876363</v>
      </c>
      <c r="C550" s="20" t="n">
        <f aca="false">-SUMPRODUCT(固有振動数!$Q$6:$Q$22*固有振動数!$P$6:$P$22/((1-($A550/固有振動数!$O$6:$O$22)^2)^2+固有振動数!$P$6:$P$22^2))</f>
        <v>-0.212789371185596</v>
      </c>
      <c r="D550" s="20" t="n">
        <f aca="false">SQRT(B550^2+C550^2)</f>
        <v>48.1083031876674</v>
      </c>
      <c r="E550" s="32" t="n">
        <f aca="false">20*LOG10(MAX(D550,0.000000000001)/$K$3)</f>
        <v>33.6444007862623</v>
      </c>
    </row>
    <row r="551" customFormat="false" ht="15" hidden="false" customHeight="false" outlineLevel="0" collapsed="false">
      <c r="A551" s="13" t="n">
        <f aca="false">A550+$F$3</f>
        <v>21800</v>
      </c>
      <c r="B551" s="20" t="n">
        <f aca="false">SUMPRODUCT(固有振動数!$Q$6:$Q$22*(1-($A551/固有振動数!$O$6:$O$22)^2)/((1-($A551/固有振動数!$O$6:$O$22)^2)^2+固有振動数!$P$6:$P$22^2))</f>
        <v>52.2802824009044</v>
      </c>
      <c r="C551" s="20" t="n">
        <f aca="false">-SUMPRODUCT(固有振動数!$Q$6:$Q$22*固有振動数!$P$6:$P$22/((1-($A551/固有振動数!$O$6:$O$22)^2)^2+固有振動数!$P$6:$P$22^2))</f>
        <v>-0.264715693628607</v>
      </c>
      <c r="D551" s="20" t="n">
        <f aca="false">SQRT(B551^2+C551^2)</f>
        <v>52.2809525766007</v>
      </c>
      <c r="E551" s="32" t="n">
        <f aca="false">20*LOG10(MAX(D551,0.000000000001)/$K$3)</f>
        <v>34.3668698394526</v>
      </c>
    </row>
    <row r="552" customFormat="false" ht="15" hidden="false" customHeight="false" outlineLevel="0" collapsed="false">
      <c r="A552" s="13" t="n">
        <f aca="false">A551+$F$3</f>
        <v>21840</v>
      </c>
      <c r="B552" s="20" t="n">
        <f aca="false">SUMPRODUCT(固有振動数!$Q$6:$Q$22*(1-($A552/固有振動数!$O$6:$O$22)^2)/((1-($A552/固有振動数!$O$6:$O$22)^2)^2+固有振動数!$P$6:$P$22^2))</f>
        <v>57.5776470705573</v>
      </c>
      <c r="C552" s="20" t="n">
        <f aca="false">-SUMPRODUCT(固有振動数!$Q$6:$Q$22*固有振動数!$P$6:$P$22/((1-($A552/固有振動数!$O$6:$O$22)^2)^2+固有振動数!$P$6:$P$22^2))</f>
        <v>-0.340244159536611</v>
      </c>
      <c r="D552" s="20" t="n">
        <f aca="false">SQRT(B552^2+C552^2)</f>
        <v>57.5786523658704</v>
      </c>
      <c r="E552" s="32" t="n">
        <f aca="false">20*LOG10(MAX(D552,0.000000000001)/$K$3)</f>
        <v>35.2052299191027</v>
      </c>
    </row>
    <row r="553" customFormat="false" ht="15" hidden="false" customHeight="false" outlineLevel="0" collapsed="false">
      <c r="A553" s="13" t="n">
        <f aca="false">A552+$F$3</f>
        <v>21880</v>
      </c>
      <c r="B553" s="20" t="n">
        <f aca="false">SUMPRODUCT(固有振動数!$Q$6:$Q$22*(1-($A553/固有振動数!$O$6:$O$22)^2)/((1-($A553/固有振動数!$O$6:$O$22)^2)^2+固有振動数!$P$6:$P$22^2))</f>
        <v>64.5607074928506</v>
      </c>
      <c r="C553" s="20" t="n">
        <f aca="false">-SUMPRODUCT(固有振動数!$Q$6:$Q$22*固有振動数!$P$6:$P$22/((1-($A553/固有振動数!$O$6:$O$22)^2)^2+固有振動数!$P$6:$P$22^2))</f>
        <v>-0.456424976063638</v>
      </c>
      <c r="D553" s="20" t="n">
        <f aca="false">SQRT(B553^2+C553^2)</f>
        <v>64.5623208670211</v>
      </c>
      <c r="E553" s="32" t="n">
        <f aca="false">20*LOG10(MAX(D553,0.000000000001)/$K$3)</f>
        <v>36.1995826776581</v>
      </c>
    </row>
    <row r="554" customFormat="false" ht="15" hidden="false" customHeight="false" outlineLevel="0" collapsed="false">
      <c r="A554" s="13" t="n">
        <f aca="false">A553+$F$3</f>
        <v>21920</v>
      </c>
      <c r="B554" s="20" t="n">
        <f aca="false">SUMPRODUCT(固有振動数!$Q$6:$Q$22*(1-($A554/固有振動数!$O$6:$O$22)^2)/((1-($A554/固有振動数!$O$6:$O$22)^2)^2+固有振動数!$P$6:$P$22^2))</f>
        <v>74.2415193017839</v>
      </c>
      <c r="C554" s="20" t="n">
        <f aca="false">-SUMPRODUCT(固有振動数!$Q$6:$Q$22*固有振動数!$P$6:$P$22/((1-($A554/固有振動数!$O$6:$O$22)^2)^2+固有振動数!$P$6:$P$22^2))</f>
        <v>-0.64907936989803</v>
      </c>
      <c r="D554" s="20" t="n">
        <f aca="false">SQRT(B554^2+C554^2)</f>
        <v>74.2443566358116</v>
      </c>
      <c r="E554" s="32" t="n">
        <f aca="false">20*LOG10(MAX(D554,0.000000000001)/$K$3)</f>
        <v>37.4132689644798</v>
      </c>
    </row>
    <row r="555" customFormat="false" ht="15" hidden="false" customHeight="false" outlineLevel="0" collapsed="false">
      <c r="A555" s="13" t="n">
        <f aca="false">A554+$F$3</f>
        <v>21960</v>
      </c>
      <c r="B555" s="20" t="n">
        <f aca="false">SUMPRODUCT(固有振動数!$Q$6:$Q$22*(1-($A555/固有振動数!$O$6:$O$22)^2)/((1-($A555/固有振動数!$O$6:$O$22)^2)^2+固有振動数!$P$6:$P$22^2))</f>
        <v>88.652441440146</v>
      </c>
      <c r="C555" s="20" t="n">
        <f aca="false">-SUMPRODUCT(固有振動数!$Q$6:$Q$22*固有振動数!$P$6:$P$22/((1-($A555/固有振動数!$O$6:$O$22)^2)^2+固有振動数!$P$6:$P$22^2))</f>
        <v>-1.00443284201939</v>
      </c>
      <c r="D555" s="20" t="n">
        <f aca="false">SQRT(B555^2+C555^2)</f>
        <v>88.6581313734541</v>
      </c>
      <c r="E555" s="32" t="n">
        <f aca="false">20*LOG10(MAX(D555,0.000000000001)/$K$3)</f>
        <v>38.9543714707462</v>
      </c>
    </row>
    <row r="556" customFormat="false" ht="15" hidden="false" customHeight="false" outlineLevel="0" collapsed="false">
      <c r="A556" s="13" t="n">
        <f aca="false">A555+$F$3</f>
        <v>22000</v>
      </c>
      <c r="B556" s="20" t="n">
        <f aca="false">SUMPRODUCT(固有振動数!$Q$6:$Q$22*(1-($A556/固有振動数!$O$6:$O$22)^2)/((1-($A556/固有振動数!$O$6:$O$22)^2)^2+固有振動数!$P$6:$P$22^2))</f>
        <v>112.566376826837</v>
      </c>
      <c r="C556" s="20" t="n">
        <f aca="false">-SUMPRODUCT(固有振動数!$Q$6:$Q$22*固有振動数!$P$6:$P$22/((1-($A556/固有振動数!$O$6:$O$22)^2)^2+固有振動数!$P$6:$P$22^2))</f>
        <v>-1.77633067988337</v>
      </c>
      <c r="D556" s="20" t="n">
        <f aca="false">SQRT(B556^2+C556^2)</f>
        <v>112.580391465858</v>
      </c>
      <c r="E556" s="32" t="n">
        <f aca="false">20*LOG10(MAX(D556,0.000000000001)/$K$3)</f>
        <v>41.0292550892135</v>
      </c>
    </row>
    <row r="557" customFormat="false" ht="15" hidden="false" customHeight="false" outlineLevel="0" collapsed="false">
      <c r="A557" s="13" t="n">
        <f aca="false">A556+$F$3</f>
        <v>22040</v>
      </c>
      <c r="B557" s="20" t="n">
        <f aca="false">SUMPRODUCT(固有振動数!$Q$6:$Q$22*(1-($A557/固有振動数!$O$6:$O$22)^2)/((1-($A557/固有振動数!$O$6:$O$22)^2)^2+固有振動数!$P$6:$P$22^2))</f>
        <v>160.464568419813</v>
      </c>
      <c r="C557" s="20" t="n">
        <f aca="false">-SUMPRODUCT(固有振動数!$Q$6:$Q$22*固有振動数!$P$6:$P$22/((1-($A557/固有振動数!$O$6:$O$22)^2)^2+固有振動数!$P$6:$P$22^2))</f>
        <v>-4.00992019729918</v>
      </c>
      <c r="D557" s="20" t="n">
        <f aca="false">SQRT(B557^2+C557^2)</f>
        <v>160.51466343654</v>
      </c>
      <c r="E557" s="32" t="n">
        <f aca="false">20*LOG10(MAX(D557,0.000000000001)/$K$3)</f>
        <v>44.1102942499191</v>
      </c>
    </row>
    <row r="558" customFormat="false" ht="15" hidden="false" customHeight="false" outlineLevel="0" collapsed="false">
      <c r="A558" s="13" t="n">
        <f aca="false">A557+$F$3</f>
        <v>22080</v>
      </c>
      <c r="B558" s="20" t="n">
        <f aca="false">SUMPRODUCT(固有振動数!$Q$6:$Q$22*(1-($A558/固有振動数!$O$6:$O$22)^2)/((1-($A558/固有振動数!$O$6:$O$22)^2)^2+固有振動数!$P$6:$P$22^2))</f>
        <v>306.616265022228</v>
      </c>
      <c r="C558" s="20" t="n">
        <f aca="false">-SUMPRODUCT(固有振動数!$Q$6:$Q$22*固有振動数!$P$6:$P$22/((1-($A558/固有振動数!$O$6:$O$22)^2)^2+固有振動数!$P$6:$P$22^2))</f>
        <v>-16.5362824803899</v>
      </c>
      <c r="D558" s="20" t="n">
        <f aca="false">SQRT(B558^2+C558^2)</f>
        <v>307.061854704312</v>
      </c>
      <c r="E558" s="32" t="n">
        <f aca="false">20*LOG10(MAX(D558,0.000000000001)/$K$3)</f>
        <v>49.744517376053</v>
      </c>
    </row>
    <row r="559" customFormat="false" ht="15" hidden="false" customHeight="false" outlineLevel="0" collapsed="false">
      <c r="A559" s="13" t="n">
        <f aca="false">A558+$F$3</f>
        <v>22120</v>
      </c>
      <c r="B559" s="20" t="n">
        <f aca="false">SUMPRODUCT(固有振動数!$Q$6:$Q$22*(1-($A559/固有振動数!$O$6:$O$22)^2)/((1-($A559/固有振動数!$O$6:$O$22)^2)^2+固有振動数!$P$6:$P$22^2))</f>
        <v>-2323.38524232806</v>
      </c>
      <c r="C559" s="20" t="n">
        <f aca="false">-SUMPRODUCT(固有振動数!$Q$6:$Q$22*固有振動数!$P$6:$P$22/((1-($A559/固有振動数!$O$6:$O$22)^2)^2+固有振動数!$P$6:$P$22^2))</f>
        <v>-3370.42405667242</v>
      </c>
      <c r="D559" s="20" t="n">
        <f aca="false">SQRT(B559^2+C559^2)</f>
        <v>4093.63863892064</v>
      </c>
      <c r="E559" s="32" t="n">
        <f aca="false">20*LOG10(MAX(D559,0.000000000001)/$K$3)</f>
        <v>72.2421900637977</v>
      </c>
    </row>
    <row r="560" customFormat="false" ht="15" hidden="false" customHeight="false" outlineLevel="0" collapsed="false">
      <c r="A560" s="13" t="n">
        <f aca="false">A559+$F$3</f>
        <v>22160</v>
      </c>
      <c r="B560" s="20" t="n">
        <f aca="false">SUMPRODUCT(固有振動数!$Q$6:$Q$22*(1-($A560/固有振動数!$O$6:$O$22)^2)/((1-($A560/固有振動数!$O$6:$O$22)^2)^2+固有振動数!$P$6:$P$22^2))</f>
        <v>-244.593520454599</v>
      </c>
      <c r="C560" s="20" t="n">
        <f aca="false">-SUMPRODUCT(固有振動数!$Q$6:$Q$22*固有振動数!$P$6:$P$22/((1-($A560/固有振動数!$O$6:$O$22)^2)^2+固有振動数!$P$6:$P$22^2))</f>
        <v>-14.1401490718272</v>
      </c>
      <c r="D560" s="20" t="n">
        <f aca="false">SQRT(B560^2+C560^2)</f>
        <v>245.001906245947</v>
      </c>
      <c r="E560" s="32" t="n">
        <f aca="false">20*LOG10(MAX(D560,0.000000000001)/$K$3)</f>
        <v>47.7833892684233</v>
      </c>
    </row>
    <row r="561" customFormat="false" ht="15" hidden="false" customHeight="false" outlineLevel="0" collapsed="false">
      <c r="A561" s="13" t="n">
        <f aca="false">A560+$F$3</f>
        <v>22200</v>
      </c>
      <c r="B561" s="20" t="n">
        <f aca="false">SUMPRODUCT(固有振動数!$Q$6:$Q$22*(1-($A561/固有振動数!$O$6:$O$22)^2)/((1-($A561/固有振動数!$O$6:$O$22)^2)^2+固有振動数!$P$6:$P$22^2))</f>
        <v>-114.163915818326</v>
      </c>
      <c r="C561" s="20" t="n">
        <f aca="false">-SUMPRODUCT(固有振動数!$Q$6:$Q$22*固有振動数!$P$6:$P$22/((1-($A561/固有振動数!$O$6:$O$22)^2)^2+固有振動数!$P$6:$P$22^2))</f>
        <v>-3.69407797567219</v>
      </c>
      <c r="D561" s="20" t="n">
        <f aca="false">SQRT(B561^2+C561^2)</f>
        <v>114.223666055088</v>
      </c>
      <c r="E561" s="32" t="n">
        <f aca="false">20*LOG10(MAX(D561,0.000000000001)/$K$3)</f>
        <v>41.1551218982148</v>
      </c>
    </row>
    <row r="562" customFormat="false" ht="15" hidden="false" customHeight="false" outlineLevel="0" collapsed="false">
      <c r="A562" s="13" t="n">
        <f aca="false">A561+$F$3</f>
        <v>22240</v>
      </c>
      <c r="B562" s="20" t="n">
        <f aca="false">SUMPRODUCT(固有振動数!$Q$6:$Q$22*(1-($A562/固有振動数!$O$6:$O$22)^2)/((1-($A562/固有振動数!$O$6:$O$22)^2)^2+固有振動数!$P$6:$P$22^2))</f>
        <v>-69.097961463939</v>
      </c>
      <c r="C562" s="20" t="n">
        <f aca="false">-SUMPRODUCT(固有振動数!$Q$6:$Q$22*固有振動数!$P$6:$P$22/((1-($A562/固有振動数!$O$6:$O$22)^2)^2+固有振動数!$P$6:$P$22^2))</f>
        <v>-1.67909442296965</v>
      </c>
      <c r="D562" s="20" t="n">
        <f aca="false">SQRT(B562^2+C562^2)</f>
        <v>69.1183596199537</v>
      </c>
      <c r="E562" s="32" t="n">
        <f aca="false">20*LOG10(MAX(D562,0.000000000001)/$K$3)</f>
        <v>36.7918684503959</v>
      </c>
    </row>
    <row r="563" customFormat="false" ht="15" hidden="false" customHeight="false" outlineLevel="0" collapsed="false">
      <c r="A563" s="13" t="n">
        <f aca="false">A562+$F$3</f>
        <v>22280</v>
      </c>
      <c r="B563" s="20" t="n">
        <f aca="false">SUMPRODUCT(固有振動数!$Q$6:$Q$22*(1-($A563/固有振動数!$O$6:$O$22)^2)/((1-($A563/固有振動数!$O$6:$O$22)^2)^2+固有振動数!$P$6:$P$22^2))</f>
        <v>-46.0578594775977</v>
      </c>
      <c r="C563" s="20" t="n">
        <f aca="false">-SUMPRODUCT(固有振動数!$Q$6:$Q$22*固有振動数!$P$6:$P$22/((1-($A563/固有振動数!$O$6:$O$22)^2)^2+固有振動数!$P$6:$P$22^2))</f>
        <v>-0.964993138984929</v>
      </c>
      <c r="D563" s="20" t="n">
        <f aca="false">SQRT(B563^2+C563^2)</f>
        <v>46.0679675199202</v>
      </c>
      <c r="E563" s="32" t="n">
        <f aca="false">20*LOG10(MAX(D563,0.000000000001)/$K$3)</f>
        <v>33.2679810393428</v>
      </c>
    </row>
    <row r="564" customFormat="false" ht="15" hidden="false" customHeight="false" outlineLevel="0" collapsed="false">
      <c r="A564" s="13" t="n">
        <f aca="false">A563+$F$3</f>
        <v>22320</v>
      </c>
      <c r="B564" s="20" t="n">
        <f aca="false">SUMPRODUCT(固有振動数!$Q$6:$Q$22*(1-($A564/固有振動数!$O$6:$O$22)^2)/((1-($A564/固有振動数!$O$6:$O$22)^2)^2+固有振動数!$P$6:$P$22^2))</f>
        <v>-31.9188539787822</v>
      </c>
      <c r="C564" s="20" t="n">
        <f aca="false">-SUMPRODUCT(固有振動数!$Q$6:$Q$22*固有振動数!$P$6:$P$22/((1-($A564/固有振動数!$O$6:$O$22)^2)^2+固有振動数!$P$6:$P$22^2))</f>
        <v>-0.633310197468298</v>
      </c>
      <c r="D564" s="20" t="n">
        <f aca="false">SQRT(B564^2+C564^2)</f>
        <v>31.925136195873</v>
      </c>
      <c r="E564" s="32" t="n">
        <f aca="false">20*LOG10(MAX(D564,0.000000000001)/$K$3)</f>
        <v>30.0826551736753</v>
      </c>
    </row>
    <row r="565" customFormat="false" ht="15" hidden="false" customHeight="false" outlineLevel="0" collapsed="false">
      <c r="A565" s="13" t="n">
        <f aca="false">A564+$F$3</f>
        <v>22360</v>
      </c>
      <c r="B565" s="20" t="n">
        <f aca="false">SUMPRODUCT(固有振動数!$Q$6:$Q$22*(1-($A565/固有振動数!$O$6:$O$22)^2)/((1-($A565/固有振動数!$O$6:$O$22)^2)^2+固有振動数!$P$6:$P$22^2))</f>
        <v>-22.2416754261155</v>
      </c>
      <c r="C565" s="20" t="n">
        <f aca="false">-SUMPRODUCT(固有振動数!$Q$6:$Q$22*固有振動数!$P$6:$P$22/((1-($A565/固有振動数!$O$6:$O$22)^2)^2+固有振動数!$P$6:$P$22^2))</f>
        <v>-0.453551354423694</v>
      </c>
      <c r="D565" s="20" t="n">
        <f aca="false">SQRT(B565^2+C565^2)</f>
        <v>22.2462993459984</v>
      </c>
      <c r="E565" s="32" t="n">
        <f aca="false">20*LOG10(MAX(D565,0.000000000001)/$K$3)</f>
        <v>26.9451555357494</v>
      </c>
    </row>
    <row r="566" customFormat="false" ht="15" hidden="false" customHeight="false" outlineLevel="0" collapsed="false">
      <c r="A566" s="13" t="n">
        <f aca="false">A565+$F$3</f>
        <v>22400</v>
      </c>
      <c r="B566" s="20" t="n">
        <f aca="false">SUMPRODUCT(固有振動数!$Q$6:$Q$22*(1-($A566/固有振動数!$O$6:$O$22)^2)/((1-($A566/固有振動数!$O$6:$O$22)^2)^2+固有振動数!$P$6:$P$22^2))</f>
        <v>-15.1063587125188</v>
      </c>
      <c r="C566" s="20" t="n">
        <f aca="false">-SUMPRODUCT(固有振動数!$Q$6:$Q$22*固有振動数!$P$6:$P$22/((1-($A566/固有振動数!$O$6:$O$22)^2)^2+固有振動数!$P$6:$P$22^2))</f>
        <v>-0.346030442905675</v>
      </c>
      <c r="D566" s="20" t="n">
        <f aca="false">SQRT(B566^2+C566^2)</f>
        <v>15.1103213274474</v>
      </c>
      <c r="E566" s="32" t="n">
        <f aca="false">20*LOG10(MAX(D566,0.000000000001)/$K$3)</f>
        <v>23.5854739979036</v>
      </c>
    </row>
    <row r="567" customFormat="false" ht="15" hidden="false" customHeight="false" outlineLevel="0" collapsed="false">
      <c r="A567" s="13" t="n">
        <f aca="false">A566+$F$3</f>
        <v>22440</v>
      </c>
      <c r="B567" s="20" t="n">
        <f aca="false">SUMPRODUCT(固有振動数!$Q$6:$Q$22*(1-($A567/固有振動数!$O$6:$O$22)^2)/((1-($A567/固有振動数!$O$6:$O$22)^2)^2+固有振動数!$P$6:$P$22^2))</f>
        <v>-9.54552720513224</v>
      </c>
      <c r="C567" s="20" t="n">
        <f aca="false">-SUMPRODUCT(固有振動数!$Q$6:$Q$22*固有振動数!$P$6:$P$22/((1-($A567/固有振動数!$O$6:$O$22)^2)^2+固有振動数!$P$6:$P$22^2))</f>
        <v>-0.277292804915924</v>
      </c>
      <c r="D567" s="20" t="n">
        <f aca="false">SQRT(B567^2+C567^2)</f>
        <v>9.54955396464032</v>
      </c>
      <c r="E567" s="32" t="n">
        <f aca="false">20*LOG10(MAX(D567,0.000000000001)/$K$3)</f>
        <v>19.5996617453519</v>
      </c>
    </row>
    <row r="568" customFormat="false" ht="15" hidden="false" customHeight="false" outlineLevel="0" collapsed="false">
      <c r="A568" s="13" t="n">
        <f aca="false">A567+$F$3</f>
        <v>22480</v>
      </c>
      <c r="B568" s="20" t="n">
        <f aca="false">SUMPRODUCT(固有振動数!$Q$6:$Q$22*(1-($A568/固有振動数!$O$6:$O$22)^2)/((1-($A568/固有振動数!$O$6:$O$22)^2)^2+固有振動数!$P$6:$P$22^2))</f>
        <v>-5.01716017433234</v>
      </c>
      <c r="C568" s="20" t="n">
        <f aca="false">-SUMPRODUCT(固有振動数!$Q$6:$Q$22*固有振動数!$P$6:$P$22/((1-($A568/固有振動数!$O$6:$O$22)^2)^2+固有振動数!$P$6:$P$22^2))</f>
        <v>-0.231320653702044</v>
      </c>
      <c r="D568" s="20" t="n">
        <f aca="false">SQRT(B568^2+C568^2)</f>
        <v>5.02248996611598</v>
      </c>
      <c r="E568" s="32" t="n">
        <f aca="false">20*LOG10(MAX(D568,0.000000000001)/$K$3)</f>
        <v>14.0183815558331</v>
      </c>
    </row>
    <row r="569" customFormat="false" ht="15" hidden="false" customHeight="false" outlineLevel="0" collapsed="false">
      <c r="A569" s="13" t="n">
        <f aca="false">A568+$F$3</f>
        <v>22520</v>
      </c>
      <c r="B569" s="20" t="n">
        <f aca="false">SUMPRODUCT(固有振動数!$Q$6:$Q$22*(1-($A569/固有振動数!$O$6:$O$22)^2)/((1-($A569/固有振動数!$O$6:$O$22)^2)^2+固有振動数!$P$6:$P$22^2))</f>
        <v>-1.1922811854585</v>
      </c>
      <c r="C569" s="20" t="n">
        <f aca="false">-SUMPRODUCT(固有振動数!$Q$6:$Q$22*固有振動数!$P$6:$P$22/((1-($A569/固有振動数!$O$6:$O$22)^2)^2+固有振動数!$P$6:$P$22^2))</f>
        <v>-0.19968539906565</v>
      </c>
      <c r="D569" s="20" t="n">
        <f aca="false">SQRT(B569^2+C569^2)</f>
        <v>1.20888737432333</v>
      </c>
      <c r="E569" s="32" t="n">
        <f aca="false">20*LOG10(MAX(D569,0.000000000001)/$K$3)</f>
        <v>1.64771683626755</v>
      </c>
    </row>
    <row r="570" customFormat="false" ht="15" hidden="false" customHeight="false" outlineLevel="0" collapsed="false">
      <c r="A570" s="13" t="n">
        <f aca="false">A569+$F$3</f>
        <v>22560</v>
      </c>
      <c r="B570" s="20" t="n">
        <f aca="false">SUMPRODUCT(固有振動数!$Q$6:$Q$22*(1-($A570/固有振動数!$O$6:$O$22)^2)/((1-($A570/固有振動数!$O$6:$O$22)^2)^2+固有振動数!$P$6:$P$22^2))</f>
        <v>2.14210326273956</v>
      </c>
      <c r="C570" s="20" t="n">
        <f aca="false">-SUMPRODUCT(固有振動数!$Q$6:$Q$22*固有振動数!$P$6:$P$22/((1-($A570/固有振動数!$O$6:$O$22)^2)^2+固有振動数!$P$6:$P$22^2))</f>
        <v>-0.177632090363293</v>
      </c>
      <c r="D570" s="20" t="n">
        <f aca="false">SQRT(B570^2+C570^2)</f>
        <v>2.14945563986938</v>
      </c>
      <c r="E570" s="32" t="n">
        <f aca="false">20*LOG10(MAX(D570,0.000000000001)/$K$3)</f>
        <v>6.64656973287312</v>
      </c>
    </row>
    <row r="571" customFormat="false" ht="15" hidden="false" customHeight="false" outlineLevel="0" collapsed="false">
      <c r="A571" s="13" t="n">
        <f aca="false">A570+$F$3</f>
        <v>22600</v>
      </c>
      <c r="B571" s="20" t="n">
        <f aca="false">SUMPRODUCT(固有振動数!$Q$6:$Q$22*(1-($A571/固有振動数!$O$6:$O$22)^2)/((1-($A571/固有振動数!$O$6:$O$22)^2)^2+固有振動数!$P$6:$P$22^2))</f>
        <v>5.13184982904656</v>
      </c>
      <c r="C571" s="20" t="n">
        <f aca="false">-SUMPRODUCT(固有振動数!$Q$6:$Q$22*固有振動数!$P$6:$P$22/((1-($A571/固有振動数!$O$6:$O$22)^2)^2+固有振動数!$P$6:$P$22^2))</f>
        <v>-0.162339446212033</v>
      </c>
      <c r="D571" s="20" t="n">
        <f aca="false">SQRT(B571^2+C571^2)</f>
        <v>5.13441688643234</v>
      </c>
      <c r="E571" s="32" t="n">
        <f aca="false">20*LOG10(MAX(D571,0.000000000001)/$K$3)</f>
        <v>14.2098225618419</v>
      </c>
    </row>
    <row r="572" customFormat="false" ht="15" hidden="false" customHeight="false" outlineLevel="0" collapsed="false">
      <c r="A572" s="13" t="n">
        <f aca="false">A571+$F$3</f>
        <v>22640</v>
      </c>
      <c r="B572" s="20" t="n">
        <f aca="false">SUMPRODUCT(固有振動数!$Q$6:$Q$22*(1-($A572/固有振動数!$O$6:$O$22)^2)/((1-($A572/固有振動数!$O$6:$O$22)^2)^2+固有振動数!$P$6:$P$22^2))</f>
        <v>7.8822380159175</v>
      </c>
      <c r="C572" s="20" t="n">
        <f aca="false">-SUMPRODUCT(固有振動数!$Q$6:$Q$22*固有振動数!$P$6:$P$22/((1-($A572/固有振動数!$O$6:$O$22)^2)^2+固有振動数!$P$6:$P$22^2))</f>
        <v>-0.152078481839894</v>
      </c>
      <c r="D572" s="20" t="n">
        <f aca="false">SQRT(B572^2+C572^2)</f>
        <v>7.88370496684229</v>
      </c>
      <c r="E572" s="32" t="n">
        <f aca="false">20*LOG10(MAX(D572,0.000000000001)/$K$3)</f>
        <v>17.9346072647867</v>
      </c>
    </row>
    <row r="573" customFormat="false" ht="15" hidden="false" customHeight="false" outlineLevel="0" collapsed="false">
      <c r="A573" s="13" t="n">
        <f aca="false">A572+$F$3</f>
        <v>22680</v>
      </c>
      <c r="B573" s="20" t="n">
        <f aca="false">SUMPRODUCT(固有振動数!$Q$6:$Q$22*(1-($A573/固有振動数!$O$6:$O$22)^2)/((1-($A573/固有振動数!$O$6:$O$22)^2)^2+固有振動数!$P$6:$P$22^2))</f>
        <v>10.4734187929859</v>
      </c>
      <c r="C573" s="20" t="n">
        <f aca="false">-SUMPRODUCT(固有振動数!$Q$6:$Q$22*固有振動数!$P$6:$P$22/((1-($A573/固有振動数!$O$6:$O$22)^2)^2+固有振動数!$P$6:$P$22^2))</f>
        <v>-0.145779021696478</v>
      </c>
      <c r="D573" s="20" t="n">
        <f aca="false">SQRT(B573^2+C573^2)</f>
        <v>10.474433289512</v>
      </c>
      <c r="E573" s="32" t="n">
        <f aca="false">20*LOG10(MAX(D573,0.000000000001)/$K$3)</f>
        <v>20.4026107026556</v>
      </c>
    </row>
    <row r="574" customFormat="false" ht="15" hidden="false" customHeight="false" outlineLevel="0" collapsed="false">
      <c r="A574" s="13" t="n">
        <f aca="false">A573+$F$3</f>
        <v>22720</v>
      </c>
      <c r="B574" s="20" t="n">
        <f aca="false">SUMPRODUCT(固有振動数!$Q$6:$Q$22*(1-($A574/固有振動数!$O$6:$O$22)^2)/((1-($A574/固有振動数!$O$6:$O$22)^2)^2+固有振動数!$P$6:$P$22^2))</f>
        <v>12.9700107786036</v>
      </c>
      <c r="C574" s="20" t="n">
        <f aca="false">-SUMPRODUCT(固有振動数!$Q$6:$Q$22*固有振動数!$P$6:$P$22/((1-($A574/固有振動数!$O$6:$O$22)^2)^2+固有振動数!$P$6:$P$22^2))</f>
        <v>-0.14279685563167</v>
      </c>
      <c r="D574" s="20" t="n">
        <f aca="false">SQRT(B574^2+C574^2)</f>
        <v>12.9707968351629</v>
      </c>
      <c r="E574" s="32" t="n">
        <f aca="false">20*LOG10(MAX(D574,0.000000000001)/$K$3)</f>
        <v>22.2593331384653</v>
      </c>
    </row>
    <row r="575" customFormat="false" ht="15" hidden="false" customHeight="false" outlineLevel="0" collapsed="false">
      <c r="A575" s="13" t="n">
        <f aca="false">A574+$F$3</f>
        <v>22760</v>
      </c>
      <c r="B575" s="20" t="n">
        <f aca="false">SUMPRODUCT(固有振動数!$Q$6:$Q$22*(1-($A575/固有振動数!$O$6:$O$22)^2)/((1-($A575/固有振動数!$O$6:$O$22)^2)^2+固有振動数!$P$6:$P$22^2))</f>
        <v>15.4275192322078</v>
      </c>
      <c r="C575" s="20" t="n">
        <f aca="false">-SUMPRODUCT(固有振動数!$Q$6:$Q$22*固有振動数!$P$6:$P$22/((1-($A575/固有振動数!$O$6:$O$22)^2)^2+固有振動数!$P$6:$P$22^2))</f>
        <v>-0.142787593965018</v>
      </c>
      <c r="D575" s="20" t="n">
        <f aca="false">SQRT(B575^2+C575^2)</f>
        <v>15.4281799949681</v>
      </c>
      <c r="E575" s="32" t="n">
        <f aca="false">20*LOG10(MAX(D575,0.000000000001)/$K$3)</f>
        <v>23.7662939395884</v>
      </c>
    </row>
    <row r="576" customFormat="false" ht="15" hidden="false" customHeight="false" outlineLevel="0" collapsed="false">
      <c r="A576" s="13" t="n">
        <f aca="false">A575+$F$3</f>
        <v>22800</v>
      </c>
      <c r="B576" s="20" t="n">
        <f aca="false">SUMPRODUCT(固有振動数!$Q$6:$Q$22*(1-($A576/固有振動数!$O$6:$O$22)^2)/((1-($A576/固有振動数!$O$6:$O$22)^2)^2+固有振動数!$P$6:$P$22^2))</f>
        <v>17.8970553606129</v>
      </c>
      <c r="C576" s="20" t="n">
        <f aca="false">-SUMPRODUCT(固有振動数!$Q$6:$Q$22*固有振動数!$P$6:$P$22/((1-($A576/固有振動数!$O$6:$O$22)^2)^2+固有振動数!$P$6:$P$22^2))</f>
        <v>-0.145642863192625</v>
      </c>
      <c r="D576" s="20" t="n">
        <f aca="false">SQRT(B576^2+C576^2)</f>
        <v>17.8976479578866</v>
      </c>
      <c r="E576" s="32" t="n">
        <f aca="false">20*LOG10(MAX(D576,0.000000000001)/$K$3)</f>
        <v>25.0559192273883</v>
      </c>
    </row>
    <row r="577" customFormat="false" ht="15" hidden="false" customHeight="false" outlineLevel="0" collapsed="false">
      <c r="A577" s="13" t="n">
        <f aca="false">A576+$F$3</f>
        <v>22840</v>
      </c>
      <c r="B577" s="20" t="n">
        <f aca="false">SUMPRODUCT(固有振動数!$Q$6:$Q$22*(1-($A577/固有振動数!$O$6:$O$22)^2)/((1-($A577/固有振動数!$O$6:$O$22)^2)^2+固有振動数!$P$6:$P$22^2))</f>
        <v>20.4292670093342</v>
      </c>
      <c r="C577" s="20" t="n">
        <f aca="false">-SUMPRODUCT(固有振動数!$Q$6:$Q$22*固有振動数!$P$6:$P$22/((1-($A577/固有振動数!$O$6:$O$22)^2)^2+固有振動数!$P$6:$P$22^2))</f>
        <v>-0.15146845528459</v>
      </c>
      <c r="D577" s="20" t="n">
        <f aca="false">SQRT(B577^2+C577^2)</f>
        <v>20.4298285169411</v>
      </c>
      <c r="E577" s="32" t="n">
        <f aca="false">20*LOG10(MAX(D577,0.000000000001)/$K$3)</f>
        <v>26.2052944256898</v>
      </c>
    </row>
    <row r="578" customFormat="false" ht="15" hidden="false" customHeight="false" outlineLevel="0" collapsed="false">
      <c r="A578" s="13" t="n">
        <f aca="false">A577+$F$3</f>
        <v>22880</v>
      </c>
      <c r="B578" s="20" t="n">
        <f aca="false">SUMPRODUCT(固有振動数!$Q$6:$Q$22*(1-($A578/固有振動数!$O$6:$O$22)^2)/((1-($A578/固有振動数!$O$6:$O$22)^2)^2+固有振動数!$P$6:$P$22^2))</f>
        <v>23.0781486698608</v>
      </c>
      <c r="C578" s="20" t="n">
        <f aca="false">-SUMPRODUCT(固有振動数!$Q$6:$Q$22*固有振動数!$P$6:$P$22/((1-($A578/固有振動数!$O$6:$O$22)^2)^2+固有振動数!$P$6:$P$22^2))</f>
        <v>-0.160597589031094</v>
      </c>
      <c r="D578" s="20" t="n">
        <f aca="false">SQRT(B578^2+C578^2)</f>
        <v>23.0787074511074</v>
      </c>
      <c r="E578" s="32" t="n">
        <f aca="false">20*LOG10(MAX(D578,0.000000000001)/$K$3)</f>
        <v>27.2642296403058</v>
      </c>
    </row>
    <row r="579" customFormat="false" ht="15" hidden="false" customHeight="false" outlineLevel="0" collapsed="false">
      <c r="A579" s="13" t="n">
        <f aca="false">A578+$F$3</f>
        <v>22920</v>
      </c>
      <c r="B579" s="20" t="n">
        <f aca="false">SUMPRODUCT(固有振動数!$Q$6:$Q$22*(1-($A579/固有振動数!$O$6:$O$22)^2)/((1-($A579/固有振動数!$O$6:$O$22)^2)^2+固有振動数!$P$6:$P$22^2))</f>
        <v>25.9053594523457</v>
      </c>
      <c r="C579" s="20" t="n">
        <f aca="false">-SUMPRODUCT(固有振動数!$Q$6:$Q$22*固有振動数!$P$6:$P$22/((1-($A579/固有振動数!$O$6:$O$22)^2)^2+固有振動数!$P$6:$P$22^2))</f>
        <v>-0.173642681188344</v>
      </c>
      <c r="D579" s="20" t="n">
        <f aca="false">SQRT(B579^2+C579^2)</f>
        <v>25.9059414060939</v>
      </c>
      <c r="E579" s="32" t="n">
        <f aca="false">20*LOG10(MAX(D579,0.000000000001)/$K$3)</f>
        <v>28.2679875781243</v>
      </c>
    </row>
    <row r="580" customFormat="false" ht="15" hidden="false" customHeight="false" outlineLevel="0" collapsed="false">
      <c r="A580" s="13" t="n">
        <f aca="false">A579+$F$3</f>
        <v>22960</v>
      </c>
      <c r="B580" s="20" t="n">
        <f aca="false">SUMPRODUCT(固有振動数!$Q$6:$Q$22*(1-($A580/固有振動数!$O$6:$O$22)^2)/((1-($A580/固有振動数!$O$6:$O$22)^2)^2+固有振動数!$P$6:$P$22^2))</f>
        <v>28.9858231123117</v>
      </c>
      <c r="C580" s="20" t="n">
        <f aca="false">-SUMPRODUCT(固有振動数!$Q$6:$Q$22*固有振動数!$P$6:$P$22/((1-($A580/固有振動数!$O$6:$O$22)^2)^2+固有振動数!$P$6:$P$22^2))</f>
        <v>-0.191600718243753</v>
      </c>
      <c r="D580" s="20" t="n">
        <f aca="false">SQRT(B580^2+C580^2)</f>
        <v>28.9864563604014</v>
      </c>
      <c r="E580" s="32" t="n">
        <f aca="false">20*LOG10(MAX(D580,0.000000000001)/$K$3)</f>
        <v>29.2439025084168</v>
      </c>
    </row>
    <row r="581" customFormat="false" ht="15" hidden="false" customHeight="false" outlineLevel="0" collapsed="false">
      <c r="A581" s="13" t="n">
        <f aca="false">A580+$F$3</f>
        <v>23000</v>
      </c>
      <c r="B581" s="20" t="n">
        <f aca="false">SUMPRODUCT(固有振動数!$Q$6:$Q$22*(1-($A581/固有振動数!$O$6:$O$22)^2)/((1-($A581/固有振動数!$O$6:$O$22)^2)^2+固有振動数!$P$6:$P$22^2))</f>
        <v>32.4157818920156</v>
      </c>
      <c r="C581" s="20" t="n">
        <f aca="false">-SUMPRODUCT(固有振動数!$Q$6:$Q$22*固有振動数!$P$6:$P$22/((1-($A581/固有振動数!$O$6:$O$22)^2)^2+固有振動数!$P$6:$P$22^2))</f>
        <v>-0.216046173168958</v>
      </c>
      <c r="D581" s="20" t="n">
        <f aca="false">SQRT(B581^2+C581^2)</f>
        <v>32.4165018411868</v>
      </c>
      <c r="E581" s="32" t="n">
        <f aca="false">20*LOG10(MAX(D581,0.000000000001)/$K$3)</f>
        <v>30.2153229412562</v>
      </c>
    </row>
    <row r="582" customFormat="false" ht="15" hidden="false" customHeight="false" outlineLevel="0" collapsed="false">
      <c r="A582" s="13" t="n">
        <f aca="false">A581+$F$3</f>
        <v>23040</v>
      </c>
      <c r="B582" s="20" t="n">
        <f aca="false">SUMPRODUCT(固有振動数!$Q$6:$Q$22*(1-($A582/固有振動数!$O$6:$O$22)^2)/((1-($A582/固有振動数!$O$6:$O$22)^2)^2+固有振動数!$P$6:$P$22^2))</f>
        <v>36.3253271958273</v>
      </c>
      <c r="C582" s="20" t="n">
        <f aca="false">-SUMPRODUCT(固有振動数!$Q$6:$Q$22*固有振動数!$P$6:$P$22/((1-($A582/固有振動数!$O$6:$O$22)^2)^2+固有振動数!$P$6:$P$22^2))</f>
        <v>-0.249482277280621</v>
      </c>
      <c r="D582" s="20" t="n">
        <f aca="false">SQRT(B582^2+C582^2)</f>
        <v>36.3261839076249</v>
      </c>
      <c r="E582" s="32" t="n">
        <f aca="false">20*LOG10(MAX(D582,0.000000000001)/$K$3)</f>
        <v>31.2043955460742</v>
      </c>
    </row>
    <row r="583" customFormat="false" ht="15" hidden="false" customHeight="false" outlineLevel="0" collapsed="false">
      <c r="A583" s="13" t="n">
        <f aca="false">A582+$F$3</f>
        <v>23080</v>
      </c>
      <c r="B583" s="20" t="n">
        <f aca="false">SUMPRODUCT(固有振動数!$Q$6:$Q$22*(1-($A583/固有振動数!$O$6:$O$22)^2)/((1-($A583/固有振動数!$O$6:$O$22)^2)^2+固有振動数!$P$6:$P$22^2))</f>
        <v>40.8992258021916</v>
      </c>
      <c r="C583" s="20" t="n">
        <f aca="false">-SUMPRODUCT(固有振動数!$Q$6:$Q$22*固有振動数!$P$6:$P$22/((1-($A583/固有振動数!$O$6:$O$22)^2)^2+固有振動数!$P$6:$P$22^2))</f>
        <v>-0.296001899790574</v>
      </c>
      <c r="D583" s="20" t="n">
        <f aca="false">SQRT(B583^2+C583^2)</f>
        <v>40.9002969224348</v>
      </c>
      <c r="E583" s="32" t="n">
        <f aca="false">20*LOG10(MAX(D583,0.000000000001)/$K$3)</f>
        <v>32.2345292170206</v>
      </c>
    </row>
    <row r="584" customFormat="false" ht="15" hidden="false" customHeight="false" outlineLevel="0" collapsed="false">
      <c r="A584" s="13" t="n">
        <f aca="false">A583+$F$3</f>
        <v>23120</v>
      </c>
      <c r="B584" s="20" t="n">
        <f aca="false">SUMPRODUCT(固有振動数!$Q$6:$Q$22*(1-($A584/固有振動数!$O$6:$O$22)^2)/((1-($A584/固有振動数!$O$6:$O$22)^2)^2+固有振動数!$P$6:$P$22^2))</f>
        <v>46.4138215828691</v>
      </c>
      <c r="C584" s="20" t="n">
        <f aca="false">-SUMPRODUCT(固有振動数!$Q$6:$Q$22*固有振動数!$P$6:$P$22/((1-($A584/固有振動数!$O$6:$O$22)^2)^2+固有振動数!$P$6:$P$22^2))</f>
        <v>-0.362600948102258</v>
      </c>
      <c r="D584" s="20" t="n">
        <f aca="false">SQRT(B584^2+C584^2)</f>
        <v>46.4152379437397</v>
      </c>
      <c r="E584" s="32" t="n">
        <f aca="false">20*LOG10(MAX(D584,0.000000000001)/$K$3)</f>
        <v>33.3332116233696</v>
      </c>
    </row>
    <row r="585" customFormat="false" ht="15" hidden="false" customHeight="false" outlineLevel="0" collapsed="false">
      <c r="A585" s="13" t="n">
        <f aca="false">A584+$F$3</f>
        <v>23160</v>
      </c>
      <c r="B585" s="20" t="n">
        <f aca="false">SUMPRODUCT(固有振動数!$Q$6:$Q$22*(1-($A585/固有振動数!$O$6:$O$22)^2)/((1-($A585/固有振動数!$O$6:$O$22)^2)^2+固有振動数!$P$6:$P$22^2))</f>
        <v>53.3071918800188</v>
      </c>
      <c r="C585" s="20" t="n">
        <f aca="false">-SUMPRODUCT(固有振動数!$Q$6:$Q$22*固有振動数!$P$6:$P$22/((1-($A585/固有振動数!$O$6:$O$22)^2)^2+固有振動数!$P$6:$P$22^2))</f>
        <v>-0.461988632211763</v>
      </c>
      <c r="D585" s="20" t="n">
        <f aca="false">SQRT(B585^2+C585^2)</f>
        <v>53.3091937627032</v>
      </c>
      <c r="E585" s="32" t="n">
        <f aca="false">20*LOG10(MAX(D585,0.000000000001)/$K$3)</f>
        <v>34.5360422878818</v>
      </c>
    </row>
    <row r="586" customFormat="false" ht="15" hidden="false" customHeight="false" outlineLevel="0" collapsed="false">
      <c r="A586" s="13" t="n">
        <f aca="false">A585+$F$3</f>
        <v>23200</v>
      </c>
      <c r="B586" s="20" t="n">
        <f aca="false">SUMPRODUCT(固有振動数!$Q$6:$Q$22*(1-($A586/固有振動数!$O$6:$O$22)^2)/((1-($A586/固有振動数!$O$6:$O$22)^2)^2+固有振動数!$P$6:$P$22^2))</f>
        <v>62.3242984725461</v>
      </c>
      <c r="C586" s="20" t="n">
        <f aca="false">-SUMPRODUCT(固有振動数!$Q$6:$Q$22*固有振動数!$P$6:$P$22/((1-($A586/固有振動数!$O$6:$O$22)^2)^2+固有振動数!$P$6:$P$22^2))</f>
        <v>-0.619207415211725</v>
      </c>
      <c r="D586" s="20" t="n">
        <f aca="false">SQRT(B586^2+C586^2)</f>
        <v>62.3273743865251</v>
      </c>
      <c r="E586" s="32" t="n">
        <f aca="false">20*LOG10(MAX(D586,0.000000000001)/$K$3)</f>
        <v>35.8935766422964</v>
      </c>
    </row>
    <row r="587" customFormat="false" ht="15" hidden="false" customHeight="false" outlineLevel="0" collapsed="false">
      <c r="A587" s="13" t="n">
        <f aca="false">A586+$F$3</f>
        <v>23240</v>
      </c>
      <c r="B587" s="20" t="n">
        <f aca="false">SUMPRODUCT(固有振動数!$Q$6:$Q$22*(1-($A587/固有振動数!$O$6:$O$22)^2)/((1-($A587/固有振動数!$O$6:$O$22)^2)^2+固有振動数!$P$6:$P$22^2))</f>
        <v>74.8516451299656</v>
      </c>
      <c r="C587" s="20" t="n">
        <f aca="false">-SUMPRODUCT(固有振動数!$Q$6:$Q$22*固有振動数!$P$6:$P$22/((1-($A587/固有振動数!$O$6:$O$22)^2)^2+固有振動数!$P$6:$P$22^2))</f>
        <v>-0.889344263817176</v>
      </c>
      <c r="D587" s="20" t="n">
        <f aca="false">SQRT(B587^2+C587^2)</f>
        <v>74.8569282824368</v>
      </c>
      <c r="E587" s="32" t="n">
        <f aca="false">20*LOG10(MAX(D587,0.000000000001)/$K$3)</f>
        <v>37.4846400416333</v>
      </c>
    </row>
    <row r="588" customFormat="false" ht="15" hidden="false" customHeight="false" outlineLevel="0" collapsed="false">
      <c r="A588" s="13" t="n">
        <f aca="false">A587+$F$3</f>
        <v>23280</v>
      </c>
      <c r="B588" s="20" t="n">
        <f aca="false">SUMPRODUCT(固有振動数!$Q$6:$Q$22*(1-($A588/固有振動数!$O$6:$O$22)^2)/((1-($A588/固有振動数!$O$6:$O$22)^2)^2+固有振動数!$P$6:$P$22^2))</f>
        <v>93.8113366963757</v>
      </c>
      <c r="C588" s="20" t="n">
        <f aca="false">-SUMPRODUCT(固有振動数!$Q$6:$Q$22*固有振動数!$P$6:$P$22/((1-($A588/固有振動数!$O$6:$O$22)^2)^2+固有振動数!$P$6:$P$22^2))</f>
        <v>-1.41405413121848</v>
      </c>
      <c r="D588" s="20" t="n">
        <f aca="false">SQRT(B588^2+C588^2)</f>
        <v>93.8219933802666</v>
      </c>
      <c r="E588" s="32" t="n">
        <f aca="false">20*LOG10(MAX(D588,0.000000000001)/$K$3)</f>
        <v>39.4460931181306</v>
      </c>
    </row>
    <row r="589" customFormat="false" ht="15" hidden="false" customHeight="false" outlineLevel="0" collapsed="false">
      <c r="A589" s="13" t="n">
        <f aca="false">A588+$F$3</f>
        <v>23320</v>
      </c>
      <c r="B589" s="20" t="n">
        <f aca="false">SUMPRODUCT(固有振動数!$Q$6:$Q$22*(1-($A589/固有振動数!$O$6:$O$22)^2)/((1-($A589/固有振動数!$O$6:$O$22)^2)^2+固有振動数!$P$6:$P$22^2))</f>
        <v>126.628023820444</v>
      </c>
      <c r="C589" s="20" t="n">
        <f aca="false">-SUMPRODUCT(固有振動数!$Q$6:$Q$22*固有振動数!$P$6:$P$22/((1-($A589/固有振動数!$O$6:$O$22)^2)^2+固有振動数!$P$6:$P$22^2))</f>
        <v>-2.65645471213366</v>
      </c>
      <c r="D589" s="20" t="n">
        <f aca="false">SQRT(B589^2+C589^2)</f>
        <v>126.655884854627</v>
      </c>
      <c r="E589" s="32" t="n">
        <f aca="false">20*LOG10(MAX(D589,0.000000000001)/$K$3)</f>
        <v>42.052507467295</v>
      </c>
    </row>
    <row r="590" customFormat="false" ht="15" hidden="false" customHeight="false" outlineLevel="0" collapsed="false">
      <c r="A590" s="13" t="n">
        <f aca="false">A589+$F$3</f>
        <v>23360</v>
      </c>
      <c r="B590" s="20" t="n">
        <f aca="false">SUMPRODUCT(固有振動数!$Q$6:$Q$22*(1-($A590/固有振動数!$O$6:$O$22)^2)/((1-($A590/固有振動数!$O$6:$O$22)^2)^2+固有振動数!$P$6:$P$22^2))</f>
        <v>199.400477592927</v>
      </c>
      <c r="C590" s="20" t="n">
        <f aca="false">-SUMPRODUCT(固有振動数!$Q$6:$Q$22*固有振動数!$P$6:$P$22/((1-($A590/固有振動数!$O$6:$O$22)^2)^2+固有振動数!$P$6:$P$22^2))</f>
        <v>-6.94186652201491</v>
      </c>
      <c r="D590" s="20" t="n">
        <f aca="false">SQRT(B590^2+C590^2)</f>
        <v>199.521276998462</v>
      </c>
      <c r="E590" s="32" t="n">
        <f aca="false">20*LOG10(MAX(D590,0.000000000001)/$K$3)</f>
        <v>45.9997843152726</v>
      </c>
    </row>
    <row r="591" customFormat="false" ht="15" hidden="false" customHeight="false" outlineLevel="0" collapsed="false">
      <c r="A591" s="13" t="n">
        <f aca="false">A590+$F$3</f>
        <v>23400</v>
      </c>
      <c r="B591" s="20" t="n">
        <f aca="false">SUMPRODUCT(固有振動数!$Q$6:$Q$22*(1-($A591/固有振動数!$O$6:$O$22)^2)/((1-($A591/固有振動数!$O$6:$O$22)^2)^2+固有振動数!$P$6:$P$22^2))</f>
        <v>514.191981662769</v>
      </c>
      <c r="C591" s="20" t="n">
        <f aca="false">-SUMPRODUCT(固有振動数!$Q$6:$Q$22*固有振動数!$P$6:$P$22/((1-($A591/固有振動数!$O$6:$O$22)^2)^2+固有振動数!$P$6:$P$22^2))</f>
        <v>-50.2982540240804</v>
      </c>
      <c r="D591" s="20" t="n">
        <f aca="false">SQRT(B591^2+C591^2)</f>
        <v>516.646211990523</v>
      </c>
      <c r="E591" s="32" t="n">
        <f aca="false">20*LOG10(MAX(D591,0.000000000001)/$K$3)</f>
        <v>54.2638649904773</v>
      </c>
    </row>
    <row r="592" customFormat="false" ht="15" hidden="false" customHeight="false" outlineLevel="0" collapsed="false">
      <c r="A592" s="13" t="n">
        <f aca="false">A591+$F$3</f>
        <v>23440</v>
      </c>
      <c r="B592" s="20" t="n">
        <f aca="false">SUMPRODUCT(固有振動数!$Q$6:$Q$22*(1-($A592/固有振動数!$O$6:$O$22)^2)/((1-($A592/固有振動数!$O$6:$O$22)^2)^2+固有振動数!$P$6:$P$22^2))</f>
        <v>-669.112419072944</v>
      </c>
      <c r="C592" s="20" t="n">
        <f aca="false">-SUMPRODUCT(固有振動数!$Q$6:$Q$22*固有振動数!$P$6:$P$22/((1-($A592/固有振動数!$O$6:$O$22)^2)^2+固有振動数!$P$6:$P$22^2))</f>
        <v>-96.126772667957</v>
      </c>
      <c r="D592" s="20" t="n">
        <f aca="false">SQRT(B592^2+C592^2)</f>
        <v>675.982089837596</v>
      </c>
      <c r="E592" s="32" t="n">
        <f aca="false">20*LOG10(MAX(D592,0.000000000001)/$K$3)</f>
        <v>56.5987037890178</v>
      </c>
    </row>
    <row r="593" customFormat="false" ht="15" hidden="false" customHeight="false" outlineLevel="0" collapsed="false">
      <c r="A593" s="13" t="n">
        <f aca="false">A592+$F$3</f>
        <v>23480</v>
      </c>
      <c r="B593" s="20" t="n">
        <f aca="false">SUMPRODUCT(固有振動数!$Q$6:$Q$22*(1-($A593/固有振動数!$O$6:$O$22)^2)/((1-($A593/固有振動数!$O$6:$O$22)^2)^2+固有振動数!$P$6:$P$22^2))</f>
        <v>-187.06505571334</v>
      </c>
      <c r="C593" s="20" t="n">
        <f aca="false">-SUMPRODUCT(固有振動数!$Q$6:$Q$22*固有振動数!$P$6:$P$22/((1-($A593/固有振動数!$O$6:$O$22)^2)^2+固有振動数!$P$6:$P$22^2))</f>
        <v>-8.59295846869595</v>
      </c>
      <c r="D593" s="20" t="n">
        <f aca="false">SQRT(B593^2+C593^2)</f>
        <v>187.26231335824</v>
      </c>
      <c r="E593" s="32" t="n">
        <f aca="false">20*LOG10(MAX(D593,0.000000000001)/$K$3)</f>
        <v>45.4490076833946</v>
      </c>
    </row>
    <row r="594" customFormat="false" ht="15" hidden="false" customHeight="false" outlineLevel="0" collapsed="false">
      <c r="A594" s="13" t="n">
        <f aca="false">A593+$F$3</f>
        <v>23520</v>
      </c>
      <c r="B594" s="20" t="n">
        <f aca="false">SUMPRODUCT(固有振動数!$Q$6:$Q$22*(1-($A594/固有振動数!$O$6:$O$22)^2)/((1-($A594/固有振動数!$O$6:$O$22)^2)^2+固有振動数!$P$6:$P$22^2))</f>
        <v>-100.157764284861</v>
      </c>
      <c r="C594" s="20" t="n">
        <f aca="false">-SUMPRODUCT(固有振動数!$Q$6:$Q$22*固有振動数!$P$6:$P$22/((1-($A594/固有振動数!$O$6:$O$22)^2)^2+固有振動数!$P$6:$P$22^2))</f>
        <v>-3.03573368044733</v>
      </c>
      <c r="D594" s="20" t="n">
        <f aca="false">SQRT(B594^2+C594^2)</f>
        <v>100.203759537855</v>
      </c>
      <c r="E594" s="32" t="n">
        <f aca="false">20*LOG10(MAX(D594,0.000000000001)/$K$3)</f>
        <v>40.0176803220248</v>
      </c>
    </row>
    <row r="595" customFormat="false" ht="15" hidden="false" customHeight="false" outlineLevel="0" collapsed="false">
      <c r="A595" s="13" t="n">
        <f aca="false">A594+$F$3</f>
        <v>23560</v>
      </c>
      <c r="B595" s="20" t="n">
        <f aca="false">SUMPRODUCT(固有振動数!$Q$6:$Q$22*(1-($A595/固有振動数!$O$6:$O$22)^2)/((1-($A595/固有振動数!$O$6:$O$22)^2)^2+固有振動数!$P$6:$P$22^2))</f>
        <v>-62.7221311038248</v>
      </c>
      <c r="C595" s="20" t="n">
        <f aca="false">-SUMPRODUCT(固有振動数!$Q$6:$Q$22*固有振動数!$P$6:$P$22/((1-($A595/固有振動数!$O$6:$O$22)^2)^2+固有振動数!$P$6:$P$22^2))</f>
        <v>-1.59266024481974</v>
      </c>
      <c r="D595" s="20" t="n">
        <f aca="false">SQRT(B595^2+C595^2)</f>
        <v>62.7423485124745</v>
      </c>
      <c r="E595" s="32" t="n">
        <f aca="false">20*LOG10(MAX(D595,0.000000000001)/$K$3)</f>
        <v>35.9512154153567</v>
      </c>
    </row>
    <row r="596" customFormat="false" ht="15" hidden="false" customHeight="false" outlineLevel="0" collapsed="false">
      <c r="A596" s="13" t="n">
        <f aca="false">A595+$F$3</f>
        <v>23600</v>
      </c>
      <c r="B596" s="20" t="n">
        <f aca="false">SUMPRODUCT(固有振動数!$Q$6:$Q$22*(1-($A596/固有振動数!$O$6:$O$22)^2)/((1-($A596/固有振動数!$O$6:$O$22)^2)^2+固有振動数!$P$6:$P$22^2))</f>
        <v>-40.9798890170199</v>
      </c>
      <c r="C596" s="20" t="n">
        <f aca="false">-SUMPRODUCT(固有振動数!$Q$6:$Q$22*固有振動数!$P$6:$P$22/((1-($A596/固有振動数!$O$6:$O$22)^2)^2+固有振動数!$P$6:$P$22^2))</f>
        <v>-1.02710205672006</v>
      </c>
      <c r="D596" s="20" t="n">
        <f aca="false">SQRT(B596^2+C596^2)</f>
        <v>40.9927584151419</v>
      </c>
      <c r="E596" s="32" t="n">
        <f aca="false">20*LOG10(MAX(D596,0.000000000001)/$K$3)</f>
        <v>32.2541428621428</v>
      </c>
    </row>
    <row r="597" customFormat="false" ht="15" hidden="false" customHeight="false" outlineLevel="0" collapsed="false">
      <c r="A597" s="13" t="n">
        <f aca="false">A596+$F$3</f>
        <v>23640</v>
      </c>
      <c r="B597" s="20" t="n">
        <f aca="false">SUMPRODUCT(固有振動数!$Q$6:$Q$22*(1-($A597/固有振動数!$O$6:$O$22)^2)/((1-($A597/固有振動数!$O$6:$O$22)^2)^2+固有振動数!$P$6:$P$22^2))</f>
        <v>-25.9850133163188</v>
      </c>
      <c r="C597" s="20" t="n">
        <f aca="false">-SUMPRODUCT(固有振動数!$Q$6:$Q$22*固有振動数!$P$6:$P$22/((1-($A597/固有振動数!$O$6:$O$22)^2)^2+固有振動数!$P$6:$P$22^2))</f>
        <v>-0.762039853246615</v>
      </c>
      <c r="D597" s="20" t="n">
        <f aca="false">SQRT(B597^2+C597^2)</f>
        <v>25.9961847544443</v>
      </c>
      <c r="E597" s="32" t="n">
        <f aca="false">20*LOG10(MAX(D597,0.000000000001)/$K$3)</f>
        <v>28.2981922965904</v>
      </c>
    </row>
    <row r="598" customFormat="false" ht="15" hidden="false" customHeight="false" outlineLevel="0" collapsed="false">
      <c r="A598" s="13" t="n">
        <f aca="false">A597+$F$3</f>
        <v>23680</v>
      </c>
      <c r="B598" s="20" t="n">
        <f aca="false">SUMPRODUCT(固有振動数!$Q$6:$Q$22*(1-($A598/固有振動数!$O$6:$O$22)^2)/((1-($A598/固有振動数!$O$6:$O$22)^2)^2+固有振動数!$P$6:$P$22^2))</f>
        <v>-14.2658092619974</v>
      </c>
      <c r="C598" s="20" t="n">
        <f aca="false">-SUMPRODUCT(固有振動数!$Q$6:$Q$22*固有振動数!$P$6:$P$22/((1-($A598/固有振動数!$O$6:$O$22)^2)^2+固有振動数!$P$6:$P$22^2))</f>
        <v>-0.632602133777142</v>
      </c>
      <c r="D598" s="20" t="n">
        <f aca="false">SQRT(B598^2+C598^2)</f>
        <v>14.2798284079099</v>
      </c>
      <c r="E598" s="32" t="n">
        <f aca="false">20*LOG10(MAX(D598,0.000000000001)/$K$3)</f>
        <v>23.0944597763303</v>
      </c>
    </row>
    <row r="599" customFormat="false" ht="15" hidden="false" customHeight="false" outlineLevel="0" collapsed="false">
      <c r="A599" s="13" t="n">
        <f aca="false">A598+$F$3</f>
        <v>23720</v>
      </c>
      <c r="B599" s="20" t="n">
        <f aca="false">SUMPRODUCT(固有振動数!$Q$6:$Q$22*(1-($A599/固有振動数!$O$6:$O$22)^2)/((1-($A599/固有振動数!$O$6:$O$22)^2)^2+固有振動数!$P$6:$P$22^2))</f>
        <v>-4.08770530974762</v>
      </c>
      <c r="C599" s="20" t="n">
        <f aca="false">-SUMPRODUCT(固有振動数!$Q$6:$Q$22*固有振動数!$P$6:$P$22/((1-($A599/固有振動数!$O$6:$O$22)^2)^2+固有振動数!$P$6:$P$22^2))</f>
        <v>-0.58047315769569</v>
      </c>
      <c r="D599" s="20" t="n">
        <f aca="false">SQRT(B599^2+C599^2)</f>
        <v>4.12871454403717</v>
      </c>
      <c r="E599" s="32" t="n">
        <f aca="false">20*LOG10(MAX(D599,0.000000000001)/$K$3)</f>
        <v>12.316297142914</v>
      </c>
    </row>
    <row r="600" customFormat="false" ht="15" hidden="false" customHeight="false" outlineLevel="0" collapsed="false">
      <c r="A600" s="13" t="n">
        <f aca="false">A599+$F$3</f>
        <v>23760</v>
      </c>
      <c r="B600" s="20" t="n">
        <f aca="false">SUMPRODUCT(固有振動数!$Q$6:$Q$22*(1-($A600/固有振動数!$O$6:$O$22)^2)/((1-($A600/固有振動数!$O$6:$O$22)^2)^2+固有振動数!$P$6:$P$22^2))</f>
        <v>5.65774187599804</v>
      </c>
      <c r="C600" s="20" t="n">
        <f aca="false">-SUMPRODUCT(固有振動数!$Q$6:$Q$22*固有振動数!$P$6:$P$22/((1-($A600/固有振動数!$O$6:$O$22)^2)^2+固有振動数!$P$6:$P$22^2))</f>
        <v>-0.585882915795453</v>
      </c>
      <c r="D600" s="20" t="n">
        <f aca="false">SQRT(B600^2+C600^2)</f>
        <v>5.68799630154967</v>
      </c>
      <c r="E600" s="32" t="n">
        <f aca="false">20*LOG10(MAX(D600,0.000000000001)/$K$3)</f>
        <v>15.0991861066948</v>
      </c>
    </row>
    <row r="601" customFormat="false" ht="15" hidden="false" customHeight="false" outlineLevel="0" collapsed="false">
      <c r="A601" s="13" t="n">
        <f aca="false">A600+$F$3</f>
        <v>23800</v>
      </c>
      <c r="B601" s="20" t="n">
        <f aca="false">SUMPRODUCT(固有振動数!$Q$6:$Q$22*(1-($A601/固有振動数!$O$6:$O$22)^2)/((1-($A601/固有振動数!$O$6:$O$22)^2)^2+固有振動数!$P$6:$P$22^2))</f>
        <v>15.9234040158746</v>
      </c>
      <c r="C601" s="20" t="n">
        <f aca="false">-SUMPRODUCT(固有振動数!$Q$6:$Q$22*固有振動数!$P$6:$P$22/((1-($A601/固有振動数!$O$6:$O$22)^2)^2+固有振動数!$P$6:$P$22^2))</f>
        <v>-0.650063581769988</v>
      </c>
      <c r="D601" s="20" t="n">
        <f aca="false">SQRT(B601^2+C601^2)</f>
        <v>15.9366677229939</v>
      </c>
      <c r="E601" s="32" t="n">
        <f aca="false">20*LOG10(MAX(D601,0.000000000001)/$K$3)</f>
        <v>24.0479503552478</v>
      </c>
    </row>
    <row r="602" customFormat="false" ht="15" hidden="false" customHeight="false" outlineLevel="0" collapsed="false">
      <c r="A602" s="13" t="n">
        <f aca="false">A601+$F$3</f>
        <v>23840</v>
      </c>
      <c r="B602" s="20" t="n">
        <f aca="false">SUMPRODUCT(固有振動数!$Q$6:$Q$22*(1-($A602/固有振動数!$O$6:$O$22)^2)/((1-($A602/固有振動数!$O$6:$O$22)^2)^2+固有振動数!$P$6:$P$22^2))</f>
        <v>27.8455920929692</v>
      </c>
      <c r="C602" s="20" t="n">
        <f aca="false">-SUMPRODUCT(固有振動数!$Q$6:$Q$22*固有振動数!$P$6:$P$22/((1-($A602/固有振動数!$O$6:$O$22)^2)^2+固有振動数!$P$6:$P$22^2))</f>
        <v>-0.795999342889155</v>
      </c>
      <c r="D602" s="20" t="n">
        <f aca="false">SQRT(B602^2+C602^2)</f>
        <v>27.8569670632305</v>
      </c>
      <c r="E602" s="32" t="n">
        <f aca="false">20*LOG10(MAX(D602,0.000000000001)/$K$3)</f>
        <v>28.8986766140453</v>
      </c>
    </row>
    <row r="603" customFormat="false" ht="15" hidden="false" customHeight="false" outlineLevel="0" collapsed="false">
      <c r="A603" s="13" t="n">
        <f aca="false">A602+$F$3</f>
        <v>23880</v>
      </c>
      <c r="B603" s="20" t="n">
        <f aca="false">SUMPRODUCT(固有振動数!$Q$6:$Q$22*(1-($A603/固有振動数!$O$6:$O$22)^2)/((1-($A603/固有振動数!$O$6:$O$22)^2)^2+固有振動数!$P$6:$P$22^2))</f>
        <v>43.2351760363844</v>
      </c>
      <c r="C603" s="20" t="n">
        <f aca="false">-SUMPRODUCT(固有振動数!$Q$6:$Q$22*固有振動数!$P$6:$P$22/((1-($A603/固有振動数!$O$6:$O$22)^2)^2+固有振動数!$P$6:$P$22^2))</f>
        <v>-1.0884517771708</v>
      </c>
      <c r="D603" s="20" t="n">
        <f aca="false">SQRT(B603^2+C603^2)</f>
        <v>43.2488748312413</v>
      </c>
      <c r="E603" s="32" t="n">
        <f aca="false">20*LOG10(MAX(D603,0.000000000001)/$K$3)</f>
        <v>32.71949626564</v>
      </c>
    </row>
    <row r="604" customFormat="false" ht="15" hidden="false" customHeight="false" outlineLevel="0" collapsed="false">
      <c r="A604" s="13" t="n">
        <f aca="false">A603+$F$3</f>
        <v>23920</v>
      </c>
      <c r="B604" s="20" t="n">
        <f aca="false">SUMPRODUCT(固有振動数!$Q$6:$Q$22*(1-($A604/固有振動数!$O$6:$O$22)^2)/((1-($A604/固有振動数!$O$6:$O$22)^2)^2+固有振動数!$P$6:$P$22^2))</f>
        <v>65.7630259278303</v>
      </c>
      <c r="C604" s="20" t="n">
        <f aca="false">-SUMPRODUCT(固有振動数!$Q$6:$Q$22*固有振動数!$P$6:$P$22/((1-($A604/固有振動数!$O$6:$O$22)^2)^2+固有振動数!$P$6:$P$22^2))</f>
        <v>-1.70994886383748</v>
      </c>
      <c r="D604" s="20" t="n">
        <f aca="false">SQRT(B604^2+C604^2)</f>
        <v>65.7852529394044</v>
      </c>
      <c r="E604" s="32" t="n">
        <f aca="false">20*LOG10(MAX(D604,0.000000000001)/$K$3)</f>
        <v>36.3625709771903</v>
      </c>
    </row>
    <row r="605" customFormat="false" ht="15" hidden="false" customHeight="false" outlineLevel="0" collapsed="false">
      <c r="A605" s="13" t="n">
        <f aca="false">A604+$F$3</f>
        <v>23960</v>
      </c>
      <c r="B605" s="20" t="n">
        <f aca="false">SUMPRODUCT(固有振動数!$Q$6:$Q$22*(1-($A605/固有振動数!$O$6:$O$22)^2)/((1-($A605/固有振動数!$O$6:$O$22)^2)^2+固有振動数!$P$6:$P$22^2))</f>
        <v>105.007207285131</v>
      </c>
      <c r="C605" s="20" t="n">
        <f aca="false">-SUMPRODUCT(固有振動数!$Q$6:$Q$22*固有振動数!$P$6:$P$22/((1-($A605/固有振動数!$O$6:$O$22)^2)^2+固有振動数!$P$6:$P$22^2))</f>
        <v>-3.30555677702738</v>
      </c>
      <c r="D605" s="20" t="n">
        <f aca="false">SQRT(B605^2+C605^2)</f>
        <v>105.059222762348</v>
      </c>
      <c r="E605" s="32" t="n">
        <f aca="false">20*LOG10(MAX(D605,0.000000000001)/$K$3)</f>
        <v>40.4286836705807</v>
      </c>
    </row>
    <row r="606" customFormat="false" ht="15" hidden="false" customHeight="false" outlineLevel="0" collapsed="false">
      <c r="A606" s="13" t="n">
        <f aca="false">A605+$F$3</f>
        <v>24000</v>
      </c>
      <c r="B606" s="20" t="n">
        <f aca="false">SUMPRODUCT(固有振動数!$Q$6:$Q$22*(1-($A606/固有振動数!$O$6:$O$22)^2)/((1-($A606/固有振動数!$O$6:$O$22)^2)^2+固有振動数!$P$6:$P$22^2))</f>
        <v>197.891307510209</v>
      </c>
      <c r="C606" s="20" t="n">
        <f aca="false">-SUMPRODUCT(固有振動数!$Q$6:$Q$22*固有振動数!$P$6:$P$22/((1-($A606/固有振動数!$O$6:$O$22)^2)^2+固有振動数!$P$6:$P$22^2))</f>
        <v>-9.58842748540546</v>
      </c>
      <c r="D606" s="20" t="n">
        <f aca="false">SQRT(B606^2+C606^2)</f>
        <v>198.123465368802</v>
      </c>
      <c r="E606" s="32" t="n">
        <f aca="false">20*LOG10(MAX(D606,0.000000000001)/$K$3)</f>
        <v>45.9387183120499</v>
      </c>
    </row>
    <row r="607" customFormat="false" ht="15" hidden="false" customHeight="false" outlineLevel="0" collapsed="false">
      <c r="A607" s="13" t="n">
        <f aca="false">A606+$F$3</f>
        <v>24040</v>
      </c>
      <c r="B607" s="20" t="n">
        <f aca="false">SUMPRODUCT(固有振動数!$Q$6:$Q$22*(1-($A607/固有振動数!$O$6:$O$22)^2)/((1-($A607/固有振動数!$O$6:$O$22)^2)^2+固有振動数!$P$6:$P$22^2))</f>
        <v>753.76727970534</v>
      </c>
      <c r="C607" s="20" t="n">
        <f aca="false">-SUMPRODUCT(固有振動数!$Q$6:$Q$22*固有振動数!$P$6:$P$22/((1-($A607/固有振動数!$O$6:$O$22)^2)^2+固有振動数!$P$6:$P$22^2))</f>
        <v>-122.304107525676</v>
      </c>
      <c r="D607" s="20" t="n">
        <f aca="false">SQRT(B607^2+C607^2)</f>
        <v>763.625174200039</v>
      </c>
      <c r="E607" s="32" t="n">
        <f aca="false">20*LOG10(MAX(D607,0.000000000001)/$K$3)</f>
        <v>57.6576047442479</v>
      </c>
    </row>
    <row r="608" customFormat="false" ht="15" hidden="false" customHeight="false" outlineLevel="0" collapsed="false">
      <c r="A608" s="13" t="n">
        <f aca="false">A607+$F$3</f>
        <v>24080</v>
      </c>
      <c r="B608" s="20" t="n">
        <f aca="false">SUMPRODUCT(固有振動数!$Q$6:$Q$22*(1-($A608/固有振動数!$O$6:$O$22)^2)/((1-($A608/固有振動数!$O$6:$O$22)^2)^2+固有振動数!$P$6:$P$22^2))</f>
        <v>-497.303305357925</v>
      </c>
      <c r="C608" s="20" t="n">
        <f aca="false">-SUMPRODUCT(固有振動数!$Q$6:$Q$22*固有振動数!$P$6:$P$22/((1-($A608/固有振動数!$O$6:$O$22)^2)^2+固有振動数!$P$6:$P$22^2))</f>
        <v>-46.6308934993005</v>
      </c>
      <c r="D608" s="20" t="n">
        <f aca="false">SQRT(B608^2+C608^2)</f>
        <v>499.484752268235</v>
      </c>
      <c r="E608" s="32" t="n">
        <f aca="false">20*LOG10(MAX(D608,0.000000000001)/$K$3)</f>
        <v>53.970444701817</v>
      </c>
    </row>
    <row r="609" customFormat="false" ht="15" hidden="false" customHeight="false" outlineLevel="0" collapsed="false">
      <c r="A609" s="13" t="n">
        <f aca="false">A608+$F$3</f>
        <v>24120</v>
      </c>
      <c r="B609" s="20" t="n">
        <f aca="false">SUMPRODUCT(固有振動数!$Q$6:$Q$22*(1-($A609/固有振動数!$O$6:$O$22)^2)/((1-($A609/固有振動数!$O$6:$O$22)^2)^2+固有振動数!$P$6:$P$22^2))</f>
        <v>-201.005259658066</v>
      </c>
      <c r="C609" s="20" t="n">
        <f aca="false">-SUMPRODUCT(固有振動数!$Q$6:$Q$22*固有振動数!$P$6:$P$22/((1-($A609/固有振動数!$O$6:$O$22)^2)^2+固有振動数!$P$6:$P$22^2))</f>
        <v>-6.92600998433252</v>
      </c>
      <c r="D609" s="20" t="n">
        <f aca="false">SQRT(B609^2+C609^2)</f>
        <v>201.12454853774</v>
      </c>
      <c r="E609" s="32" t="n">
        <f aca="false">20*LOG10(MAX(D609,0.000000000001)/$K$3)</f>
        <v>46.0693016450341</v>
      </c>
    </row>
    <row r="610" customFormat="false" ht="15" hidden="false" customHeight="false" outlineLevel="0" collapsed="false">
      <c r="A610" s="13" t="n">
        <f aca="false">A609+$F$3</f>
        <v>24160</v>
      </c>
      <c r="B610" s="20" t="n">
        <f aca="false">SUMPRODUCT(固有振動数!$Q$6:$Q$22*(1-($A610/固有振動数!$O$6:$O$22)^2)/((1-($A610/固有振動数!$O$6:$O$22)^2)^2+固有振動数!$P$6:$P$22^2))</f>
        <v>-129.303952638097</v>
      </c>
      <c r="C610" s="20" t="n">
        <f aca="false">-SUMPRODUCT(固有振動数!$Q$6:$Q$22*固有振動数!$P$6:$P$22/((1-($A610/固有振動数!$O$6:$O$22)^2)^2+固有振動数!$P$6:$P$22^2))</f>
        <v>-2.6788700672203</v>
      </c>
      <c r="D610" s="20" t="n">
        <f aca="false">SQRT(B610^2+C610^2)</f>
        <v>129.331699566163</v>
      </c>
      <c r="E610" s="32" t="n">
        <f aca="false">20*LOG10(MAX(D610,0.000000000001)/$K$3)</f>
        <v>42.2340996947257</v>
      </c>
    </row>
    <row r="611" customFormat="false" ht="15" hidden="false" customHeight="false" outlineLevel="0" collapsed="false">
      <c r="A611" s="13" t="n">
        <f aca="false">A610+$F$3</f>
        <v>24200</v>
      </c>
      <c r="B611" s="20" t="n">
        <f aca="false">SUMPRODUCT(固有振動数!$Q$6:$Q$22*(1-($A611/固有振動数!$O$6:$O$22)^2)/((1-($A611/固有振動数!$O$6:$O$22)^2)^2+固有振動数!$P$6:$P$22^2))</f>
        <v>-96.6854756345389</v>
      </c>
      <c r="C611" s="20" t="n">
        <f aca="false">-SUMPRODUCT(固有振動数!$Q$6:$Q$22*固有振動数!$P$6:$P$22/((1-($A611/固有振動数!$O$6:$O$22)^2)^2+固有振動数!$P$6:$P$22^2))</f>
        <v>-1.42342134471734</v>
      </c>
      <c r="D611" s="20" t="n">
        <f aca="false">SQRT(B611^2+C611^2)</f>
        <v>96.6959530021894</v>
      </c>
      <c r="E611" s="32" t="n">
        <f aca="false">20*LOG10(MAX(D611,0.000000000001)/$K$3)</f>
        <v>39.708165960337</v>
      </c>
    </row>
    <row r="612" customFormat="false" ht="15" hidden="false" customHeight="false" outlineLevel="0" collapsed="false">
      <c r="A612" s="13" t="n">
        <f aca="false">A611+$F$3</f>
        <v>24240</v>
      </c>
      <c r="B612" s="20" t="n">
        <f aca="false">SUMPRODUCT(固有振動数!$Q$6:$Q$22*(1-($A612/固有振動数!$O$6:$O$22)^2)/((1-($A612/固有振動数!$O$6:$O$22)^2)^2+固有振動数!$P$6:$P$22^2))</f>
        <v>-77.8504050398575</v>
      </c>
      <c r="C612" s="20" t="n">
        <f aca="false">-SUMPRODUCT(固有振動数!$Q$6:$Q$22*固有振動数!$P$6:$P$22/((1-($A612/固有振動数!$O$6:$O$22)^2)^2+固有振動数!$P$6:$P$22^2))</f>
        <v>-0.888269036513219</v>
      </c>
      <c r="D612" s="20" t="n">
        <f aca="false">SQRT(B612^2+C612^2)</f>
        <v>77.8554724264845</v>
      </c>
      <c r="E612" s="32" t="n">
        <f aca="false">20*LOG10(MAX(D612,0.000000000001)/$K$3)</f>
        <v>37.8257828868551</v>
      </c>
    </row>
    <row r="613" customFormat="false" ht="15" hidden="false" customHeight="false" outlineLevel="0" collapsed="false">
      <c r="A613" s="13" t="n">
        <f aca="false">A612+$F$3</f>
        <v>24280</v>
      </c>
      <c r="B613" s="20" t="n">
        <f aca="false">SUMPRODUCT(固有振動数!$Q$6:$Q$22*(1-($A613/固有振動数!$O$6:$O$22)^2)/((1-($A613/固有振動数!$O$6:$O$22)^2)^2+固有振動数!$P$6:$P$22^2))</f>
        <v>-65.479369854318</v>
      </c>
      <c r="C613" s="20" t="n">
        <f aca="false">-SUMPRODUCT(固有振動数!$Q$6:$Q$22*固有振動数!$P$6:$P$22/((1-($A613/固有振動数!$O$6:$O$22)^2)^2+固有振動数!$P$6:$P$22^2))</f>
        <v>-0.610968615944536</v>
      </c>
      <c r="D613" s="20" t="n">
        <f aca="false">SQRT(B613^2+C613^2)</f>
        <v>65.4822201759244</v>
      </c>
      <c r="E613" s="32" t="n">
        <f aca="false">20*LOG10(MAX(D613,0.000000000001)/$K$3)</f>
        <v>36.3224679150445</v>
      </c>
    </row>
    <row r="614" customFormat="false" ht="15" hidden="false" customHeight="false" outlineLevel="0" collapsed="false">
      <c r="A614" s="13" t="n">
        <f aca="false">A613+$F$3</f>
        <v>24320</v>
      </c>
      <c r="B614" s="20" t="n">
        <f aca="false">SUMPRODUCT(固有振動数!$Q$6:$Q$22*(1-($A614/固有振動数!$O$6:$O$22)^2)/((1-($A614/固有振動数!$O$6:$O$22)^2)^2+固有振動数!$P$6:$P$22^2))</f>
        <v>-56.6677998237707</v>
      </c>
      <c r="C614" s="20" t="n">
        <f aca="false">-SUMPRODUCT(固有振動数!$Q$6:$Q$22*固有振動数!$P$6:$P$22/((1-($A614/固有振動数!$O$6:$O$22)^2)^2+固有振動数!$P$6:$P$22^2))</f>
        <v>-0.448535627152934</v>
      </c>
      <c r="D614" s="20" t="n">
        <f aca="false">SQRT(B614^2+C614^2)</f>
        <v>56.6695749152557</v>
      </c>
      <c r="E614" s="32" t="n">
        <f aca="false">20*LOG10(MAX(D614,0.000000000001)/$K$3)</f>
        <v>35.0669990992562</v>
      </c>
    </row>
    <row r="615" customFormat="false" ht="15" hidden="false" customHeight="false" outlineLevel="0" collapsed="false">
      <c r="A615" s="13" t="n">
        <f aca="false">A614+$F$3</f>
        <v>24360</v>
      </c>
      <c r="B615" s="20" t="n">
        <f aca="false">SUMPRODUCT(固有振動数!$Q$6:$Q$22*(1-($A615/固有振動数!$O$6:$O$22)^2)/((1-($A615/固有振動数!$O$6:$O$22)^2)^2+固有振動数!$P$6:$P$22^2))</f>
        <v>-50.0317925881699</v>
      </c>
      <c r="C615" s="20" t="n">
        <f aca="false">-SUMPRODUCT(固有振動数!$Q$6:$Q$22*固有振動数!$P$6:$P$22/((1-($A615/固有振動数!$O$6:$O$22)^2)^2+固有振動数!$P$6:$P$22^2))</f>
        <v>-0.344999414367735</v>
      </c>
      <c r="D615" s="20" t="n">
        <f aca="false">SQRT(B615^2+C615^2)</f>
        <v>50.0329820636504</v>
      </c>
      <c r="E615" s="32" t="n">
        <f aca="false">20*LOG10(MAX(D615,0.000000000001)/$K$3)</f>
        <v>33.9851277691182</v>
      </c>
    </row>
    <row r="616" customFormat="false" ht="15" hidden="false" customHeight="false" outlineLevel="0" collapsed="false">
      <c r="A616" s="13" t="n">
        <f aca="false">A615+$F$3</f>
        <v>24400</v>
      </c>
      <c r="B616" s="20" t="n">
        <f aca="false">SUMPRODUCT(固有振動数!$Q$6:$Q$22*(1-($A616/固有振動数!$O$6:$O$22)^2)/((1-($A616/固有振動数!$O$6:$O$22)^2)^2+固有振動数!$P$6:$P$22^2))</f>
        <v>-44.8270458478496</v>
      </c>
      <c r="C616" s="20" t="n">
        <f aca="false">-SUMPRODUCT(固有振動数!$Q$6:$Q$22*固有振動数!$P$6:$P$22/((1-($A616/固有振動数!$O$6:$O$22)^2)^2+固有振動数!$P$6:$P$22^2))</f>
        <v>-0.274793620196574</v>
      </c>
      <c r="D616" s="20" t="n">
        <f aca="false">SQRT(B616^2+C616^2)</f>
        <v>44.8278880941196</v>
      </c>
      <c r="E616" s="32" t="n">
        <f aca="false">20*LOG10(MAX(D616,0.000000000001)/$K$3)</f>
        <v>33.0309655822791</v>
      </c>
    </row>
    <row r="617" customFormat="false" ht="15" hidden="false" customHeight="false" outlineLevel="0" collapsed="false">
      <c r="A617" s="13" t="n">
        <f aca="false">A616+$F$3</f>
        <v>24440</v>
      </c>
      <c r="B617" s="20" t="n">
        <f aca="false">SUMPRODUCT(固有振動数!$Q$6:$Q$22*(1-($A617/固有振動数!$O$6:$O$22)^2)/((1-($A617/固有振動数!$O$6:$O$22)^2)^2+固有振動数!$P$6:$P$22^2))</f>
        <v>-40.6169460388086</v>
      </c>
      <c r="C617" s="20" t="n">
        <f aca="false">-SUMPRODUCT(固有振動数!$Q$6:$Q$22*固有振動数!$P$6:$P$22/((1-($A617/固有振動数!$O$6:$O$22)^2)^2+固有振動数!$P$6:$P$22^2))</f>
        <v>-0.224884856709039</v>
      </c>
      <c r="D617" s="20" t="n">
        <f aca="false">SQRT(B617^2+C617^2)</f>
        <v>40.6175685968309</v>
      </c>
      <c r="E617" s="32" t="n">
        <f aca="false">20*LOG10(MAX(D617,0.000000000001)/$K$3)</f>
        <v>32.1742784519893</v>
      </c>
    </row>
    <row r="618" customFormat="false" ht="15" hidden="false" customHeight="false" outlineLevel="0" collapsed="false">
      <c r="A618" s="13" t="n">
        <f aca="false">A617+$F$3</f>
        <v>24480</v>
      </c>
      <c r="B618" s="20" t="n">
        <f aca="false">SUMPRODUCT(固有振動数!$Q$6:$Q$22*(1-($A618/固有振動数!$O$6:$O$22)^2)/((1-($A618/固有振動数!$O$6:$O$22)^2)^2+固有振動数!$P$6:$P$22^2))</f>
        <v>-37.1280311186566</v>
      </c>
      <c r="C618" s="20" t="n">
        <f aca="false">-SUMPRODUCT(固有振動数!$Q$6:$Q$22*固有振動数!$P$6:$P$22/((1-($A618/固有振動数!$O$6:$O$22)^2)^2+固有振動数!$P$6:$P$22^2))</f>
        <v>-0.188057780060013</v>
      </c>
      <c r="D618" s="20" t="n">
        <f aca="false">SQRT(B618^2+C618^2)</f>
        <v>37.1285073828261</v>
      </c>
      <c r="E618" s="32" t="n">
        <f aca="false">20*LOG10(MAX(D618,0.000000000001)/$K$3)</f>
        <v>31.394149806806</v>
      </c>
    </row>
    <row r="619" customFormat="false" ht="15" hidden="false" customHeight="false" outlineLevel="0" collapsed="false">
      <c r="A619" s="13" t="n">
        <f aca="false">A618+$F$3</f>
        <v>24520</v>
      </c>
      <c r="B619" s="20" t="n">
        <f aca="false">SUMPRODUCT(固有振動数!$Q$6:$Q$22*(1-($A619/固有振動数!$O$6:$O$22)^2)/((1-($A619/固有振動数!$O$6:$O$22)^2)^2+固有振動数!$P$6:$P$22^2))</f>
        <v>-34.1800084670527</v>
      </c>
      <c r="C619" s="20" t="n">
        <f aca="false">-SUMPRODUCT(固有振動数!$Q$6:$Q$22*固有振動数!$P$6:$P$22/((1-($A619/固有振動数!$O$6:$O$22)^2)^2+固有振動数!$P$6:$P$22^2))</f>
        <v>-0.160052325754508</v>
      </c>
      <c r="D619" s="20" t="n">
        <f aca="false">SQRT(B619^2+C619^2)</f>
        <v>34.1803831978925</v>
      </c>
      <c r="E619" s="32" t="n">
        <f aca="false">20*LOG10(MAX(D619,0.000000000001)/$K$3)</f>
        <v>30.6755385461597</v>
      </c>
    </row>
    <row r="620" customFormat="false" ht="15" hidden="false" customHeight="false" outlineLevel="0" collapsed="false">
      <c r="A620" s="13" t="n">
        <f aca="false">A619+$F$3</f>
        <v>24560</v>
      </c>
      <c r="B620" s="20" t="n">
        <f aca="false">SUMPRODUCT(固有振動数!$Q$6:$Q$22*(1-($A620/固有振動数!$O$6:$O$22)^2)/((1-($A620/固有振動数!$O$6:$O$22)^2)^2+固有振動数!$P$6:$P$22^2))</f>
        <v>-31.6489979469318</v>
      </c>
      <c r="C620" s="20" t="n">
        <f aca="false">-SUMPRODUCT(固有振動数!$Q$6:$Q$22*固有振動数!$P$6:$P$22/((1-($A620/固有振動数!$O$6:$O$22)^2)^2+固有振動数!$P$6:$P$22^2))</f>
        <v>-0.138219695648125</v>
      </c>
      <c r="D620" s="20" t="n">
        <f aca="false">SQRT(B620^2+C620^2)</f>
        <v>31.6492997668062</v>
      </c>
      <c r="E620" s="32" t="n">
        <f aca="false">20*LOG10(MAX(D620,0.000000000001)/$K$3)</f>
        <v>30.0072821159608</v>
      </c>
    </row>
    <row r="621" customFormat="false" ht="15" hidden="false" customHeight="false" outlineLevel="0" collapsed="false">
      <c r="A621" s="13" t="n">
        <f aca="false">A620+$F$3</f>
        <v>24600</v>
      </c>
      <c r="B621" s="20" t="n">
        <f aca="false">SUMPRODUCT(固有振動数!$Q$6:$Q$22*(1-($A621/固有振動数!$O$6:$O$22)^2)/((1-($A621/固有振動数!$O$6:$O$22)^2)^2+固有振動数!$P$6:$P$22^2))</f>
        <v>-29.4469364992724</v>
      </c>
      <c r="C621" s="20" t="n">
        <f aca="false">-SUMPRODUCT(固有振動数!$Q$6:$Q$22*固有振動数!$P$6:$P$22/((1-($A621/固有振動数!$O$6:$O$22)^2)^2+固有振動数!$P$6:$P$22^2))</f>
        <v>-0.120841347300946</v>
      </c>
      <c r="D621" s="20" t="n">
        <f aca="false">SQRT(B621^2+C621^2)</f>
        <v>29.4471844464526</v>
      </c>
      <c r="E621" s="32" t="n">
        <f aca="false">20*LOG10(MAX(D621,0.000000000001)/$K$3)</f>
        <v>29.3808755323269</v>
      </c>
    </row>
    <row r="622" customFormat="false" ht="15" hidden="false" customHeight="false" outlineLevel="0" collapsed="false">
      <c r="A622" s="13" t="n">
        <f aca="false">A621+$F$3</f>
        <v>24640</v>
      </c>
      <c r="B622" s="20" t="n">
        <f aca="false">SUMPRODUCT(固有振動数!$Q$6:$Q$22*(1-($A622/固有振動数!$O$6:$O$22)^2)/((1-($A622/固有振動数!$O$6:$O$22)^2)^2+固有振動数!$P$6:$P$22^2))</f>
        <v>-27.5094135940918</v>
      </c>
      <c r="C622" s="20" t="n">
        <f aca="false">-SUMPRODUCT(固有振動数!$Q$6:$Q$22*固有振動数!$P$6:$P$22/((1-($A622/固有振動数!$O$6:$O$22)^2)^2+固有振動数!$P$6:$P$22^2))</f>
        <v>-0.106761847122428</v>
      </c>
      <c r="D622" s="20" t="n">
        <f aca="false">SQRT(B622^2+C622^2)</f>
        <v>27.5096207604322</v>
      </c>
      <c r="E622" s="32" t="n">
        <f aca="false">20*LOG10(MAX(D622,0.000000000001)/$K$3)</f>
        <v>28.7896920674906</v>
      </c>
    </row>
    <row r="623" customFormat="false" ht="15" hidden="false" customHeight="false" outlineLevel="0" collapsed="false">
      <c r="A623" s="13" t="n">
        <f aca="false">A622+$F$3</f>
        <v>24680</v>
      </c>
      <c r="B623" s="20" t="n">
        <f aca="false">SUMPRODUCT(固有振動数!$Q$6:$Q$22*(1-($A623/固有振動数!$O$6:$O$22)^2)/((1-($A623/固有振動数!$O$6:$O$22)^2)^2+固有振動数!$P$6:$P$22^2))</f>
        <v>-25.7881640728293</v>
      </c>
      <c r="C623" s="20" t="n">
        <f aca="false">-SUMPRODUCT(固有振動数!$Q$6:$Q$22*固有振動数!$P$6:$P$22/((1-($A623/固有振動数!$O$6:$O$22)^2)^2+固有振動数!$P$6:$P$22^2))</f>
        <v>-0.0951804732815043</v>
      </c>
      <c r="D623" s="20" t="n">
        <f aca="false">SQRT(B623^2+C623^2)</f>
        <v>25.7883397210766</v>
      </c>
      <c r="E623" s="32" t="n">
        <f aca="false">20*LOG10(MAX(D623,0.000000000001)/$K$3)</f>
        <v>28.2284676545577</v>
      </c>
    </row>
    <row r="624" customFormat="false" ht="15" hidden="false" customHeight="false" outlineLevel="0" collapsed="false">
      <c r="A624" s="13" t="n">
        <f aca="false">A623+$F$3</f>
        <v>24720</v>
      </c>
      <c r="B624" s="20" t="n">
        <f aca="false">SUMPRODUCT(固有振動数!$Q$6:$Q$22*(1-($A624/固有振動数!$O$6:$O$22)^2)/((1-($A624/固有振動数!$O$6:$O$22)^2)^2+固有振動数!$P$6:$P$22^2))</f>
        <v>-24.2462600096125</v>
      </c>
      <c r="C624" s="20" t="n">
        <f aca="false">-SUMPRODUCT(固有振動数!$Q$6:$Q$22*固有振動数!$P$6:$P$22/((1-($A624/固有振動数!$O$6:$O$22)^2)^2+固有振動数!$P$6:$P$22^2))</f>
        <v>-0.0855276680153338</v>
      </c>
      <c r="D624" s="20" t="n">
        <f aca="false">SQRT(B624^2+C624^2)</f>
        <v>24.246410856779</v>
      </c>
      <c r="E624" s="32" t="n">
        <f aca="false">20*LOG10(MAX(D624,0.000000000001)/$K$3)</f>
        <v>27.6929492006553</v>
      </c>
    </row>
    <row r="625" customFormat="false" ht="15" hidden="false" customHeight="false" outlineLevel="0" collapsed="false">
      <c r="A625" s="13" t="n">
        <f aca="false">A624+$F$3</f>
        <v>24760</v>
      </c>
      <c r="B625" s="20" t="n">
        <f aca="false">SUMPRODUCT(固有振動数!$Q$6:$Q$22*(1-($A625/固有振動数!$O$6:$O$22)^2)/((1-($A625/固有振動数!$O$6:$O$22)^2)^2+固有振動数!$P$6:$P$22^2))</f>
        <v>-22.8549315883045</v>
      </c>
      <c r="C625" s="20" t="n">
        <f aca="false">-SUMPRODUCT(固有振動数!$Q$6:$Q$22*固有振動数!$P$6:$P$22/((1-($A625/固有振動数!$O$6:$O$22)^2)^2+固有振動数!$P$6:$P$22^2))</f>
        <v>-0.07738901202865</v>
      </c>
      <c r="D625" s="20" t="n">
        <f aca="false">SQRT(B625^2+C625^2)</f>
        <v>22.8550626112742</v>
      </c>
      <c r="E625" s="32" t="n">
        <f aca="false">20*LOG10(MAX(D625,0.000000000001)/$K$3)</f>
        <v>27.1796483074697</v>
      </c>
    </row>
    <row r="626" customFormat="false" ht="15" hidden="false" customHeight="false" outlineLevel="0" collapsed="false">
      <c r="A626" s="13" t="n">
        <f aca="false">A625+$F$3</f>
        <v>24800</v>
      </c>
      <c r="B626" s="20" t="n">
        <f aca="false">SUMPRODUCT(固有振動数!$Q$6:$Q$22*(1-($A626/固有振動数!$O$6:$O$22)^2)/((1-($A626/固有振動数!$O$6:$O$22)^2)^2+固有振動数!$P$6:$P$22^2))</f>
        <v>-21.591406192604</v>
      </c>
      <c r="C626" s="20" t="n">
        <f aca="false">-SUMPRODUCT(固有振動数!$Q$6:$Q$22*固有振動数!$P$6:$P$22/((1-($A626/固有振動数!$O$6:$O$22)^2)^2+固有振動数!$P$6:$P$22^2))</f>
        <v>-0.0704569062068944</v>
      </c>
      <c r="D626" s="20" t="n">
        <f aca="false">SQRT(B626^2+C626^2)</f>
        <v>21.591521149508</v>
      </c>
      <c r="E626" s="32" t="n">
        <f aca="false">20*LOG10(MAX(D626,0.000000000001)/$K$3)</f>
        <v>26.6856647999648</v>
      </c>
    </row>
    <row r="627" customFormat="false" ht="15" hidden="false" customHeight="false" outlineLevel="0" collapsed="false">
      <c r="A627" s="13" t="n">
        <f aca="false">A626+$F$3</f>
        <v>24840</v>
      </c>
      <c r="B627" s="20" t="n">
        <f aca="false">SUMPRODUCT(固有振動数!$Q$6:$Q$22*(1-($A627/固有振動数!$O$6:$O$22)^2)/((1-($A627/固有振動数!$O$6:$O$22)^2)^2+固有振動数!$P$6:$P$22^2))</f>
        <v>-20.4374036028468</v>
      </c>
      <c r="C627" s="20" t="n">
        <f aca="false">-SUMPRODUCT(固有振動数!$Q$6:$Q$22*固有振動数!$P$6:$P$22/((1-($A627/固有振動数!$O$6:$O$22)^2)^2+固有振動数!$P$6:$P$22^2))</f>
        <v>-0.0644989820286</v>
      </c>
      <c r="D627" s="20" t="n">
        <f aca="false">SQRT(B627^2+C627^2)</f>
        <v>20.4375053796773</v>
      </c>
      <c r="E627" s="32" t="n">
        <f aca="false">20*LOG10(MAX(D627,0.000000000001)/$K$3)</f>
        <v>26.2085576864372</v>
      </c>
    </row>
    <row r="628" customFormat="false" ht="15" hidden="false" customHeight="false" outlineLevel="0" collapsed="false">
      <c r="A628" s="13" t="n">
        <f aca="false">A627+$F$3</f>
        <v>24880</v>
      </c>
      <c r="B628" s="20" t="n">
        <f aca="false">SUMPRODUCT(固有振動数!$Q$6:$Q$22*(1-($A628/固有振動数!$O$6:$O$22)^2)/((1-($A628/固有振動数!$O$6:$O$22)^2)^2+固有振動数!$P$6:$P$22^2))</f>
        <v>-19.378065430607</v>
      </c>
      <c r="C628" s="20" t="n">
        <f aca="false">-SUMPRODUCT(固有振動数!$Q$6:$Q$22*固有振動数!$P$6:$P$22/((1-($A628/固有振動数!$O$6:$O$22)^2)^2+固有振動数!$P$6:$P$22^2))</f>
        <v>-0.0593369266146821</v>
      </c>
      <c r="D628" s="20" t="n">
        <f aca="false">SQRT(B628^2+C628^2)</f>
        <v>19.3781562772042</v>
      </c>
      <c r="E628" s="32" t="n">
        <f aca="false">20*LOG10(MAX(D628,0.000000000001)/$K$3)</f>
        <v>25.7462490799635</v>
      </c>
    </row>
    <row r="629" customFormat="false" ht="15" hidden="false" customHeight="false" outlineLevel="0" collapsed="false">
      <c r="A629" s="13" t="n">
        <f aca="false">A628+$F$3</f>
        <v>24920</v>
      </c>
      <c r="B629" s="20" t="n">
        <f aca="false">SUMPRODUCT(固有振動数!$Q$6:$Q$22*(1-($A629/固有振動数!$O$6:$O$22)^2)/((1-($A629/固有振動数!$O$6:$O$22)^2)^2+固有振動数!$P$6:$P$22^2))</f>
        <v>-18.4011788413222</v>
      </c>
      <c r="C629" s="20" t="n">
        <f aca="false">-SUMPRODUCT(固有振動数!$Q$6:$Q$22*固有振動数!$P$6:$P$22/((1-($A629/固有振動数!$O$6:$O$22)^2)^2+固有振動数!$P$6:$P$22^2))</f>
        <v>-0.0548319698872191</v>
      </c>
      <c r="D629" s="20" t="n">
        <f aca="false">SQRT(B629^2+C629^2)</f>
        <v>18.4012605354971</v>
      </c>
      <c r="E629" s="32" t="n">
        <f aca="false">20*LOG10(MAX(D629,0.000000000001)/$K$3)</f>
        <v>25.296951487212</v>
      </c>
    </row>
    <row r="630" customFormat="false" ht="15" hidden="false" customHeight="false" outlineLevel="0" collapsed="false">
      <c r="A630" s="13" t="n">
        <f aca="false">A629+$F$3</f>
        <v>24960</v>
      </c>
      <c r="B630" s="20" t="n">
        <f aca="false">SUMPRODUCT(固有振動数!$Q$6:$Q$22*(1-($A630/固有振動数!$O$6:$O$22)^2)/((1-($A630/固有振動数!$O$6:$O$22)^2)^2+固有振動数!$P$6:$P$22^2))</f>
        <v>-17.4966039816659</v>
      </c>
      <c r="C630" s="20" t="n">
        <f aca="false">-SUMPRODUCT(固有振動数!$Q$6:$Q$22*固有振動数!$P$6:$P$22/((1-($A630/固有振動数!$O$6:$O$22)^2)^2+固有振動数!$P$6:$P$22^2))</f>
        <v>-0.050874737785079</v>
      </c>
      <c r="D630" s="20" t="n">
        <f aca="false">SQRT(B630^2+C630^2)</f>
        <v>17.496677945547</v>
      </c>
      <c r="E630" s="32" t="n">
        <f aca="false">20*LOG10(MAX(D630,0.000000000001)/$K$3)</f>
        <v>24.8591119601548</v>
      </c>
    </row>
    <row r="631" customFormat="false" ht="15" hidden="false" customHeight="false" outlineLevel="0" collapsed="false">
      <c r="A631" s="13" t="n">
        <f aca="false">A630+$F$3</f>
        <v>25000</v>
      </c>
      <c r="B631" s="20" t="n">
        <f aca="false">SUMPRODUCT(固有振動数!$Q$6:$Q$22*(1-($A631/固有振動数!$O$6:$O$22)^2)/((1-($A631/固有振動数!$O$6:$O$22)^2)^2+固有振動数!$P$6:$P$22^2))</f>
        <v>-16.6558451135155</v>
      </c>
      <c r="C631" s="20" t="n">
        <f aca="false">-SUMPRODUCT(固有振動数!$Q$6:$Q$22*固有振動数!$P$6:$P$22/((1-($A631/固有振動数!$O$6:$O$22)^2)^2+固有振動数!$P$6:$P$22^2))</f>
        <v>-0.0473780296356371</v>
      </c>
      <c r="D631" s="20" t="n">
        <f aca="false">SQRT(B631^2+C631^2)</f>
        <v>16.655912497462</v>
      </c>
      <c r="E631" s="32" t="n">
        <f aca="false">20*LOG10(MAX(D631,0.000000000001)/$K$3)</f>
        <v>24.4313686117619</v>
      </c>
    </row>
    <row r="632" customFormat="false" ht="15" hidden="false" customHeight="false" outlineLevel="0" collapsed="false">
      <c r="A632" s="13" t="n">
        <f aca="false">A631+$F$3</f>
        <v>25040</v>
      </c>
      <c r="B632" s="20" t="n">
        <f aca="false">SUMPRODUCT(固有振動数!$Q$6:$Q$22*(1-($A632/固有振動数!$O$6:$O$22)^2)/((1-($A632/固有振動数!$O$6:$O$22)^2)^2+固有振動数!$P$6:$P$22^2))</f>
        <v>-15.871724881494</v>
      </c>
      <c r="C632" s="20" t="n">
        <f aca="false">-SUMPRODUCT(固有振動数!$Q$6:$Q$22*固有振動数!$P$6:$P$22/((1-($A632/固有振動数!$O$6:$O$22)^2)^2+固有振動数!$P$6:$P$22^2))</f>
        <v>-0.0442715927565391</v>
      </c>
      <c r="D632" s="20" t="n">
        <f aca="false">SQRT(B632^2+C632^2)</f>
        <v>15.8717866255743</v>
      </c>
      <c r="E632" s="32" t="n">
        <f aca="false">20*LOG10(MAX(D632,0.000000000001)/$K$3)</f>
        <v>24.0125163271011</v>
      </c>
    </row>
    <row r="633" customFormat="false" ht="15" hidden="false" customHeight="false" outlineLevel="0" collapsed="false">
      <c r="A633" s="13" t="n">
        <f aca="false">A632+$F$3</f>
        <v>25080</v>
      </c>
      <c r="B633" s="20" t="n">
        <f aca="false">SUMPRODUCT(固有振動数!$Q$6:$Q$22*(1-($A633/固有振動数!$O$6:$O$22)^2)/((1-($A633/固有振動数!$O$6:$O$22)^2)^2+固有振動数!$P$6:$P$22^2))</f>
        <v>-15.1381337572625</v>
      </c>
      <c r="C633" s="20" t="n">
        <f aca="false">-SUMPRODUCT(固有振動数!$Q$6:$Q$22*固有振動数!$P$6:$P$22/((1-($A633/固有振動数!$O$6:$O$22)^2)^2+固有振動数!$P$6:$P$22^2))</f>
        <v>-0.0414982856785033</v>
      </c>
      <c r="D633" s="20" t="n">
        <f aca="false">SQRT(B633^2+C633^2)</f>
        <v>15.1381906369449</v>
      </c>
      <c r="E633" s="32" t="n">
        <f aca="false">20*LOG10(MAX(D633,0.000000000001)/$K$3)</f>
        <v>23.6014794011026</v>
      </c>
    </row>
    <row r="634" customFormat="false" ht="15" hidden="false" customHeight="false" outlineLevel="0" collapsed="false">
      <c r="A634" s="13" t="n">
        <f aca="false">A633+$F$3</f>
        <v>25120</v>
      </c>
      <c r="B634" s="20" t="n">
        <f aca="false">SUMPRODUCT(固有振動数!$Q$6:$Q$22*(1-($A634/固有振動数!$O$6:$O$22)^2)/((1-($A634/固有振動数!$O$6:$O$22)^2)^2+固有振動数!$P$6:$P$22^2))</f>
        <v>-14.4498350653888</v>
      </c>
      <c r="C634" s="20" t="n">
        <f aca="false">-SUMPRODUCT(固有振動数!$Q$6:$Q$22*固有振動数!$P$6:$P$22/((1-($A634/固有振動数!$O$6:$O$22)^2)^2+固有振動数!$P$6:$P$22^2))</f>
        <v>-0.039011222629687</v>
      </c>
      <c r="D634" s="20" t="n">
        <f aca="false">SQRT(B634^2+C634^2)</f>
        <v>14.4498877259455</v>
      </c>
      <c r="E634" s="32" t="n">
        <f aca="false">20*LOG10(MAX(D634,0.000000000001)/$K$3)</f>
        <v>23.1972894536966</v>
      </c>
    </row>
    <row r="635" customFormat="false" ht="15" hidden="false" customHeight="false" outlineLevel="0" collapsed="false">
      <c r="A635" s="13" t="n">
        <f aca="false">A634+$F$3</f>
        <v>25160</v>
      </c>
      <c r="B635" s="20" t="n">
        <f aca="false">SUMPRODUCT(固有振動数!$Q$6:$Q$22*(1-($A635/固有振動数!$O$6:$O$22)^2)/((1-($A635/固有振動数!$O$6:$O$22)^2)^2+固有振動数!$P$6:$P$22^2))</f>
        <v>-13.8023116406484</v>
      </c>
      <c r="C635" s="20" t="n">
        <f aca="false">-SUMPRODUCT(固有振動数!$Q$6:$Q$22*固有振動数!$P$6:$P$22/((1-($A635/固有振動数!$O$6:$O$22)^2)^2+固有振動数!$P$6:$P$22^2))</f>
        <v>-0.0367716217981982</v>
      </c>
      <c r="D635" s="20" t="n">
        <f aca="false">SQRT(B635^2+C635^2)</f>
        <v>13.802360623377</v>
      </c>
      <c r="E635" s="32" t="n">
        <f aca="false">20*LOG10(MAX(D635,0.000000000001)/$K$3)</f>
        <v>22.7990674063302</v>
      </c>
    </row>
    <row r="636" customFormat="false" ht="15" hidden="false" customHeight="false" outlineLevel="0" collapsed="false">
      <c r="A636" s="13" t="n">
        <f aca="false">A635+$F$3</f>
        <v>25200</v>
      </c>
      <c r="B636" s="20" t="n">
        <f aca="false">SUMPRODUCT(固有振動数!$Q$6:$Q$22*(1-($A636/固有振動数!$O$6:$O$22)^2)/((1-($A636/固有振動数!$O$6:$O$22)^2)^2+固有振動数!$P$6:$P$22^2))</f>
        <v>-13.1916440424775</v>
      </c>
      <c r="C636" s="20" t="n">
        <f aca="false">-SUMPRODUCT(固有振動数!$Q$6:$Q$22*固有振動数!$P$6:$P$22/((1-($A636/固有振動数!$O$6:$O$22)^2)^2+固有振動数!$P$6:$P$22^2))</f>
        <v>-0.0347471652930399</v>
      </c>
      <c r="D636" s="20" t="n">
        <f aca="false">SQRT(B636^2+C636^2)</f>
        <v>13.1916898049085</v>
      </c>
      <c r="E636" s="32" t="n">
        <f aca="false">20*LOG10(MAX(D636,0.000000000001)/$K$3)</f>
        <v>22.4060086113702</v>
      </c>
    </row>
    <row r="637" customFormat="false" ht="15" hidden="false" customHeight="false" outlineLevel="0" collapsed="false">
      <c r="A637" s="13" t="n">
        <f aca="false">A636+$F$3</f>
        <v>25240</v>
      </c>
      <c r="B637" s="20" t="n">
        <f aca="false">SUMPRODUCT(固有振動数!$Q$6:$Q$22*(1-($A637/固有振動数!$O$6:$O$22)^2)/((1-($A637/固有振動数!$O$6:$O$22)^2)^2+固有振動数!$P$6:$P$22^2))</f>
        <v>-12.6144129549841</v>
      </c>
      <c r="C637" s="20" t="n">
        <f aca="false">-SUMPRODUCT(固有振動数!$Q$6:$Q$22*固有振動数!$P$6:$P$22/((1-($A637/固有振動数!$O$6:$O$22)^2)^2+固有振動数!$P$6:$P$22^2))</f>
        <v>-0.0329107358595019</v>
      </c>
      <c r="D637" s="20" t="n">
        <f aca="false">SQRT(B637^2+C637^2)</f>
        <v>12.614455886617</v>
      </c>
      <c r="E637" s="32" t="n">
        <f aca="false">20*LOG10(MAX(D637,0.000000000001)/$K$3)</f>
        <v>22.0173704469948</v>
      </c>
    </row>
    <row r="638" customFormat="false" ht="15" hidden="false" customHeight="false" outlineLevel="0" collapsed="false">
      <c r="A638" s="13" t="n">
        <f aca="false">A637+$F$3</f>
        <v>25280</v>
      </c>
      <c r="B638" s="20" t="n">
        <f aca="false">SUMPRODUCT(固有振動数!$Q$6:$Q$22*(1-($A638/固有振動数!$O$6:$O$22)^2)/((1-($A638/固有振動数!$O$6:$O$22)^2)^2+固有振動数!$P$6:$P$22^2))</f>
        <v>-12.0676203126395</v>
      </c>
      <c r="C638" s="20" t="n">
        <f aca="false">-SUMPRODUCT(固有振動数!$Q$6:$Q$22*固有振動数!$P$6:$P$22/((1-($A638/固有振動数!$O$6:$O$22)^2)^2+固有振動数!$P$6:$P$22^2))</f>
        <v>-0.0312394342408326</v>
      </c>
      <c r="D638" s="20" t="n">
        <f aca="false">SQRT(B638^2+C638^2)</f>
        <v>12.0676607473148</v>
      </c>
      <c r="E638" s="32" t="n">
        <f aca="false">20*LOG10(MAX(D638,0.000000000001)/$K$3)</f>
        <v>21.6324618510068</v>
      </c>
    </row>
    <row r="639" customFormat="false" ht="15" hidden="false" customHeight="false" outlineLevel="0" collapsed="false">
      <c r="A639" s="13" t="n">
        <f aca="false">A638+$F$3</f>
        <v>25320</v>
      </c>
      <c r="B639" s="20" t="n">
        <f aca="false">SUMPRODUCT(固有振動数!$Q$6:$Q$22*(1-($A639/固有振動数!$O$6:$O$22)^2)/((1-($A639/固有振動数!$O$6:$O$22)^2)^2+固有振動数!$P$6:$P$22^2))</f>
        <v>-11.5486250619676</v>
      </c>
      <c r="C639" s="20" t="n">
        <f aca="false">-SUMPRODUCT(固有振動数!$Q$6:$Q$22*固有振動数!$P$6:$P$22/((1-($A639/固有振動数!$O$6:$O$22)^2)^2+固有振動数!$P$6:$P$22^2))</f>
        <v>-0.02971380786536</v>
      </c>
      <c r="D639" s="20" t="n">
        <f aca="false">SQRT(B639^2+C639^2)</f>
        <v>11.5486632876833</v>
      </c>
      <c r="E639" s="32" t="n">
        <f aca="false">20*LOG10(MAX(D639,0.000000000001)/$K$3)</f>
        <v>21.2506343852064</v>
      </c>
    </row>
    <row r="640" customFormat="false" ht="15" hidden="false" customHeight="false" outlineLevel="0" collapsed="false">
      <c r="A640" s="13" t="n">
        <f aca="false">A639+$F$3</f>
        <v>25360</v>
      </c>
      <c r="B640" s="20" t="n">
        <f aca="false">SUMPRODUCT(固有振動数!$Q$6:$Q$22*(1-($A640/固有振動数!$O$6:$O$22)^2)/((1-($A640/固有振動数!$O$6:$O$22)^2)^2+固有振動数!$P$6:$P$22^2))</f>
        <v>-11.0550904637013</v>
      </c>
      <c r="C640" s="20" t="n">
        <f aca="false">-SUMPRODUCT(固有振動数!$Q$6:$Q$22*固有振動数!$P$6:$P$22/((1-($A640/固有振動数!$O$6:$O$22)^2)^2+固有振動数!$P$6:$P$22^2))</f>
        <v>-0.0283172402680723</v>
      </c>
      <c r="D640" s="20" t="n">
        <f aca="false">SQRT(B640^2+C640^2)</f>
        <v>11.0551267304684</v>
      </c>
      <c r="E640" s="32" t="n">
        <f aca="false">20*LOG10(MAX(D640,0.000000000001)/$K$3)</f>
        <v>20.8712745095794</v>
      </c>
    </row>
    <row r="641" customFormat="false" ht="15" hidden="false" customHeight="false" outlineLevel="0" collapsed="false">
      <c r="A641" s="13" t="n">
        <f aca="false">A640+$F$3</f>
        <v>25400</v>
      </c>
      <c r="B641" s="20" t="n">
        <f aca="false">SUMPRODUCT(固有振動数!$Q$6:$Q$22*(1-($A641/固有振動数!$O$6:$O$22)^2)/((1-($A641/固有振動数!$O$6:$O$22)^2)^2+固有振動数!$P$6:$P$22^2))</f>
        <v>-10.5849405694526</v>
      </c>
      <c r="C641" s="20" t="n">
        <f aca="false">-SUMPRODUCT(固有振動数!$Q$6:$Q$22*固有振動数!$P$6:$P$22/((1-($A641/固有振動数!$O$6:$O$22)^2)^2+固有振動数!$P$6:$P$22^2))</f>
        <v>-0.0270354639183887</v>
      </c>
      <c r="D641" s="20" t="n">
        <f aca="false">SQRT(B641^2+C641^2)</f>
        <v>10.5849750956321</v>
      </c>
      <c r="E641" s="32" t="n">
        <f aca="false">20*LOG10(MAX(D641,0.000000000001)/$K$3)</f>
        <v>20.49379681094</v>
      </c>
    </row>
    <row r="642" customFormat="false" ht="15" hidden="false" customHeight="false" outlineLevel="0" collapsed="false">
      <c r="A642" s="13" t="n">
        <f aca="false">A641+$F$3</f>
        <v>25440</v>
      </c>
      <c r="B642" s="20" t="n">
        <f aca="false">SUMPRODUCT(固有振動数!$Q$6:$Q$22*(1-($A642/固有振動数!$O$6:$O$22)^2)/((1-($A642/固有振動数!$O$6:$O$22)^2)^2+固有振動数!$P$6:$P$22^2))</f>
        <v>-10.1363240480598</v>
      </c>
      <c r="C642" s="20" t="n">
        <f aca="false">-SUMPRODUCT(固有振動数!$Q$6:$Q$22*固有振動数!$P$6:$P$22/((1-($A642/固有振動数!$O$6:$O$22)^2)^2+固有振動数!$P$6:$P$22^2))</f>
        <v>-0.0258561686286492</v>
      </c>
      <c r="D642" s="20" t="n">
        <f aca="false">SQRT(B642^2+C642^2)</f>
        <v>10.1363570255162</v>
      </c>
      <c r="E642" s="32" t="n">
        <f aca="false">20*LOG10(MAX(D642,0.000000000001)/$K$3)</f>
        <v>20.1176379796562</v>
      </c>
    </row>
    <row r="643" customFormat="false" ht="15" hidden="false" customHeight="false" outlineLevel="0" collapsed="false">
      <c r="A643" s="13" t="n">
        <f aca="false">A642+$F$3</f>
        <v>25480</v>
      </c>
      <c r="B643" s="20" t="n">
        <f aca="false">SUMPRODUCT(固有振動数!$Q$6:$Q$22*(1-($A643/固有振動数!$O$6:$O$22)^2)/((1-($A643/固有振動数!$O$6:$O$22)^2)^2+固有振動数!$P$6:$P$22^2))</f>
        <v>-9.70758394211973</v>
      </c>
      <c r="C643" s="20" t="n">
        <f aca="false">-SUMPRODUCT(固有振動数!$Q$6:$Q$22*固有振動数!$P$6:$P$22/((1-($A643/固有振動数!$O$6:$O$22)^2)^2+固有振動数!$P$6:$P$22^2))</f>
        <v>-0.0247686846021113</v>
      </c>
      <c r="D643" s="20" t="n">
        <f aca="false">SQRT(B643^2+C643^2)</f>
        <v>9.70761554044235</v>
      </c>
      <c r="E643" s="32" t="n">
        <f aca="false">20*LOG10(MAX(D643,0.000000000001)/$K$3)</f>
        <v>19.7422513647953</v>
      </c>
    </row>
    <row r="644" customFormat="false" ht="15" hidden="false" customHeight="false" outlineLevel="0" collapsed="false">
      <c r="A644" s="13" t="n">
        <f aca="false">A643+$F$3</f>
        <v>25520</v>
      </c>
      <c r="B644" s="20" t="n">
        <f aca="false">SUMPRODUCT(固有振動数!$Q$6:$Q$22*(1-($A644/固有振動数!$O$6:$O$22)^2)/((1-($A644/固有振動数!$O$6:$O$22)^2)^2+固有振動数!$P$6:$P$22^2))</f>
        <v>-9.29723224167888</v>
      </c>
      <c r="C644" s="20" t="n">
        <f aca="false">-SUMPRODUCT(固有振動数!$Q$6:$Q$22*固有振動数!$P$6:$P$22/((1-($A644/固有振動数!$O$6:$O$22)^2)^2+固有振動数!$P$6:$P$22^2))</f>
        <v>-0.0237637242182356</v>
      </c>
      <c r="D644" s="20" t="n">
        <f aca="false">SQRT(B644^2+C644^2)</f>
        <v>9.29726261166705</v>
      </c>
      <c r="E644" s="32" t="n">
        <f aca="false">20*LOG10(MAX(D644,0.000000000001)/$K$3)</f>
        <v>19.3671019653919</v>
      </c>
    </row>
    <row r="645" customFormat="false" ht="15" hidden="false" customHeight="false" outlineLevel="0" collapsed="false">
      <c r="A645" s="13" t="n">
        <f aca="false">A644+$F$3</f>
        <v>25560</v>
      </c>
      <c r="B645" s="20" t="n">
        <f aca="false">SUMPRODUCT(固有振動数!$Q$6:$Q$22*(1-($A645/固有振動数!$O$6:$O$22)^2)/((1-($A645/固有振動数!$O$6:$O$22)^2)^2+固有振動数!$P$6:$P$22^2))</f>
        <v>-8.90392839580055</v>
      </c>
      <c r="C645" s="20" t="n">
        <f aca="false">-SUMPRODUCT(固有振動数!$Q$6:$Q$22*固有振動数!$P$6:$P$22/((1-($A645/固有振動数!$O$6:$O$22)^2)^2+固有振動数!$P$6:$P$22^2))</f>
        <v>-0.0228331703773046</v>
      </c>
      <c r="D645" s="20" t="n">
        <f aca="false">SQRT(B645^2+C645^2)</f>
        <v>8.90395767236192</v>
      </c>
      <c r="E645" s="32" t="n">
        <f aca="false">20*LOG10(MAX(D645,0.000000000001)/$K$3)</f>
        <v>18.991661735645</v>
      </c>
    </row>
    <row r="646" customFormat="false" ht="15" hidden="false" customHeight="false" outlineLevel="0" collapsed="false">
      <c r="A646" s="13" t="n">
        <f aca="false">A645+$F$3</f>
        <v>25600</v>
      </c>
      <c r="B646" s="20" t="n">
        <f aca="false">SUMPRODUCT(固有振動数!$Q$6:$Q$22*(1-($A646/固有振動数!$O$6:$O$22)^2)/((1-($A646/固有振動数!$O$6:$O$22)^2)^2+固有振動数!$P$6:$P$22^2))</f>
        <v>-8.52646106246387</v>
      </c>
      <c r="C646" s="20" t="n">
        <f aca="false">-SUMPRODUCT(固有振動数!$Q$6:$Q$22*固有振動数!$P$6:$P$22/((1-($A646/固有振動数!$O$6:$O$22)^2)^2+固有振動数!$P$6:$P$22^2))</f>
        <v>-0.0219699020041506</v>
      </c>
      <c r="D646" s="20" t="n">
        <f aca="false">SQRT(B646^2+C646^2)</f>
        <v>8.52648936704355</v>
      </c>
      <c r="E646" s="32" t="n">
        <f aca="false">20*LOG10(MAX(D646,0.000000000001)/$K$3)</f>
        <v>18.6154050961486</v>
      </c>
    </row>
    <row r="647" customFormat="false" ht="15" hidden="false" customHeight="false" outlineLevel="0" collapsed="false">
      <c r="A647" s="13" t="n">
        <f aca="false">A646+$F$3</f>
        <v>25640</v>
      </c>
      <c r="B647" s="20" t="n">
        <f aca="false">SUMPRODUCT(固有振動数!$Q$6:$Q$22*(1-($A647/固有振動数!$O$6:$O$22)^2)/((1-($A647/固有振動数!$O$6:$O$22)^2)^2+固有振動数!$P$6:$P$22^2))</f>
        <v>-8.16373253653743</v>
      </c>
      <c r="C647" s="20" t="n">
        <f aca="false">-SUMPRODUCT(固有振動数!$Q$6:$Q$22*固有振動数!$P$6:$P$22/((1-($A647/固有振動数!$O$6:$O$22)^2)^2+固有振動数!$P$6:$P$22^2))</f>
        <v>-0.0211676494004091</v>
      </c>
      <c r="D647" s="20" t="n">
        <f aca="false">SQRT(B647^2+C647^2)</f>
        <v>8.1637599791702</v>
      </c>
      <c r="E647" s="32" t="n">
        <f aca="false">20*LOG10(MAX(D647,0.000000000001)/$K$3)</f>
        <v>18.2378045527908</v>
      </c>
    </row>
    <row r="648" customFormat="false" ht="15" hidden="false" customHeight="false" outlineLevel="0" collapsed="false">
      <c r="A648" s="13" t="n">
        <f aca="false">A647+$F$3</f>
        <v>25680</v>
      </c>
      <c r="B648" s="20" t="n">
        <f aca="false">SUMPRODUCT(固有振動数!$Q$6:$Q$22*(1-($A648/固有振動数!$O$6:$O$22)^2)/((1-($A648/固有振動数!$O$6:$O$22)^2)^2+固有振動数!$P$6:$P$22^2))</f>
        <v>-7.81474540429719</v>
      </c>
      <c r="C648" s="20" t="n">
        <f aca="false">-SUMPRODUCT(固有振動数!$Q$6:$Q$22*固有振動数!$P$6:$P$22/((1-($A648/固有振動数!$O$6:$O$22)^2)^2+固有振動数!$P$6:$P$22^2))</f>
        <v>-0.0204208737194911</v>
      </c>
      <c r="D648" s="20" t="n">
        <f aca="false">SQRT(B648^2+C648^2)</f>
        <v>7.81477208535652</v>
      </c>
      <c r="E648" s="32" t="n">
        <f aca="false">20*LOG10(MAX(D648,0.000000000001)/$K$3)</f>
        <v>17.8583263303661</v>
      </c>
    </row>
    <row r="649" customFormat="false" ht="15" hidden="false" customHeight="false" outlineLevel="0" collapsed="false">
      <c r="A649" s="13" t="n">
        <f aca="false">A648+$F$3</f>
        <v>25720</v>
      </c>
      <c r="B649" s="20" t="n">
        <f aca="false">SUMPRODUCT(固有振動数!$Q$6:$Q$22*(1-($A649/固有振動数!$O$6:$O$22)^2)/((1-($A649/固有振動数!$O$6:$O$22)^2)^2+固有振動数!$P$6:$P$22^2))</f>
        <v>-7.47859105841916</v>
      </c>
      <c r="C649" s="20" t="n">
        <f aca="false">-SUMPRODUCT(固有振動数!$Q$6:$Q$22*固有振動数!$P$6:$P$22/((1-($A649/固有振動数!$O$6:$O$22)^2)^2+固有振動数!$P$6:$P$22^2))</f>
        <v>-0.0197246660496102</v>
      </c>
      <c r="D649" s="20" t="n">
        <f aca="false">SQRT(B649^2+C649^2)</f>
        <v>7.47861707012184</v>
      </c>
      <c r="E649" s="32" t="n">
        <f aca="false">20*LOG10(MAX(D649,0.000000000001)/$K$3)</f>
        <v>17.4764259296362</v>
      </c>
    </row>
    <row r="650" customFormat="false" ht="15" hidden="false" customHeight="false" outlineLevel="0" collapsed="false">
      <c r="A650" s="13" t="n">
        <f aca="false">A649+$F$3</f>
        <v>25760</v>
      </c>
      <c r="B650" s="20" t="n">
        <f aca="false">SUMPRODUCT(固有振動数!$Q$6:$Q$22*(1-($A650/固有振動数!$O$6:$O$22)^2)/((1-($A650/固有振動数!$O$6:$O$22)^2)^2+固有振動数!$P$6:$P$22^2))</f>
        <v>-7.15443977498655</v>
      </c>
      <c r="C650" s="20" t="n">
        <f aca="false">-SUMPRODUCT(固有振動数!$Q$6:$Q$22*固有振動数!$P$6:$P$22/((1-($A650/固有振動数!$O$6:$O$22)^2)^2+固有振動数!$P$6:$P$22^2))</f>
        <v>-0.0190746625225175</v>
      </c>
      <c r="D650" s="20" t="n">
        <f aca="false">SQRT(B650^2+C650^2)</f>
        <v>7.15446520270103</v>
      </c>
      <c r="E650" s="32" t="n">
        <f aca="false">20*LOG10(MAX(D650,0.000000000001)/$K$3)</f>
        <v>17.0915435146863</v>
      </c>
    </row>
    <row r="651" customFormat="false" ht="15" hidden="false" customHeight="false" outlineLevel="0" collapsed="false">
      <c r="A651" s="13" t="n">
        <f aca="false">A650+$F$3</f>
        <v>25800</v>
      </c>
      <c r="B651" s="20" t="n">
        <f aca="false">SUMPRODUCT(固有振動数!$Q$6:$Q$22*(1-($A651/固有振動数!$O$6:$O$22)^2)/((1-($A651/固有振動数!$O$6:$O$22)^2)^2+固有振動数!$P$6:$P$22^2))</f>
        <v>-6.8415321078743</v>
      </c>
      <c r="C651" s="20" t="n">
        <f aca="false">-SUMPRODUCT(固有振動数!$Q$6:$Q$22*固有振動数!$P$6:$P$22/((1-($A651/固有振動数!$O$6:$O$22)^2)^2+固有振動数!$P$6:$P$22^2))</f>
        <v>-0.0184669725882537</v>
      </c>
      <c r="D651" s="20" t="n">
        <f aca="false">SQRT(B651^2+C651^2)</f>
        <v>6.84155703127231</v>
      </c>
      <c r="E651" s="32" t="n">
        <f aca="false">20*LOG10(MAX(D651,0.000000000001)/$K$3)</f>
        <v>16.7030990318774</v>
      </c>
    </row>
    <row r="652" customFormat="false" ht="15" hidden="false" customHeight="false" outlineLevel="0" collapsed="false">
      <c r="A652" s="13" t="n">
        <f aca="false">A651+$F$3</f>
        <v>25840</v>
      </c>
      <c r="B652" s="20" t="n">
        <f aca="false">SUMPRODUCT(固有振動数!$Q$6:$Q$22*(1-($A652/固有振動数!$O$6:$O$22)^2)/((1-($A652/固有振動数!$O$6:$O$22)^2)^2+固有振動数!$P$6:$P$22^2))</f>
        <v>-6.53917139897005</v>
      </c>
      <c r="C652" s="20" t="n">
        <f aca="false">-SUMPRODUCT(固有振動数!$Q$6:$Q$22*固有振動数!$P$6:$P$22/((1-($A652/固有振動数!$O$6:$O$22)^2)^2+固有振動数!$P$6:$P$22^2))</f>
        <v>-0.0178981181600147</v>
      </c>
      <c r="D652" s="20" t="n">
        <f aca="false">SQRT(B652^2+C652^2)</f>
        <v>6.53919589305456</v>
      </c>
      <c r="E652" s="32" t="n">
        <f aca="false">20*LOG10(MAX(D652,0.000000000001)/$K$3)</f>
        <v>16.3104869521745</v>
      </c>
    </row>
    <row r="653" customFormat="false" ht="15" hidden="false" customHeight="false" outlineLevel="0" collapsed="false">
      <c r="A653" s="13" t="n">
        <f aca="false">A652+$F$3</f>
        <v>25880</v>
      </c>
      <c r="B653" s="20" t="n">
        <f aca="false">SUMPRODUCT(固有振動数!$Q$6:$Q$22*(1-($A653/固有振動数!$O$6:$O$22)^2)/((1-($A653/固有振動数!$O$6:$O$22)^2)^2+固有振動数!$P$6:$P$22^2))</f>
        <v>-6.24671723739363</v>
      </c>
      <c r="C653" s="20" t="n">
        <f aca="false">-SUMPRODUCT(固有振動数!$Q$6:$Q$22*固有振動数!$P$6:$P$22/((1-($A653/固有振動数!$O$6:$O$22)^2)^2+固有振動数!$P$6:$P$22^2))</f>
        <v>-0.0173649817758339</v>
      </c>
      <c r="D653" s="20" t="n">
        <f aca="false">SQRT(B653^2+C653^2)</f>
        <v>6.24674137343166</v>
      </c>
      <c r="E653" s="32" t="n">
        <f aca="false">20*LOG10(MAX(D653,0.000000000001)/$K$3)</f>
        <v>15.9130705145772</v>
      </c>
    </row>
    <row r="654" customFormat="false" ht="15" hidden="false" customHeight="false" outlineLevel="0" collapsed="false">
      <c r="A654" s="13" t="n">
        <f aca="false">A653+$F$3</f>
        <v>25920</v>
      </c>
      <c r="B654" s="20" t="n">
        <f aca="false">SUMPRODUCT(固有振動数!$Q$6:$Q$22*(1-($A654/固有振動数!$O$6:$O$22)^2)/((1-($A654/固有振動数!$O$6:$O$22)^2)^2+固有振動数!$P$6:$P$22^2))</f>
        <v>-5.96357972896898</v>
      </c>
      <c r="C654" s="20" t="n">
        <f aca="false">-SUMPRODUCT(固有振動数!$Q$6:$Q$22*固有振動数!$P$6:$P$22/((1-($A654/固有振動数!$O$6:$O$22)^2)^2+固有振動数!$P$6:$P$22^2))</f>
        <v>-0.0168647622732933</v>
      </c>
      <c r="D654" s="20" t="n">
        <f aca="false">SQRT(B654^2+C654^2)</f>
        <v>5.9636035753541</v>
      </c>
      <c r="E654" s="32" t="n">
        <f aca="false">20*LOG10(MAX(D654,0.000000000001)/$K$3)</f>
        <v>15.510175328891</v>
      </c>
    </row>
    <row r="655" customFormat="false" ht="15" hidden="false" customHeight="false" outlineLevel="0" collapsed="false">
      <c r="A655" s="13" t="n">
        <f aca="false">A654+$F$3</f>
        <v>25960</v>
      </c>
      <c r="B655" s="20" t="n">
        <f aca="false">SUMPRODUCT(固有振動数!$Q$6:$Q$22*(1-($A655/固有振動数!$O$6:$O$22)^2)/((1-($A655/固有振動数!$O$6:$O$22)^2)^2+固有振動数!$P$6:$P$22^2))</f>
        <v>-5.68921446005815</v>
      </c>
      <c r="C655" s="20" t="n">
        <f aca="false">-SUMPRODUCT(固有振動数!$Q$6:$Q$22*固有振動数!$P$6:$P$22/((1-($A655/固有振動数!$O$6:$O$22)^2)^2+固有振動数!$P$6:$P$22^2))</f>
        <v>-0.0163949367510465</v>
      </c>
      <c r="D655" s="20" t="n">
        <f aca="false">SQRT(B655^2+C655^2)</f>
        <v>5.68923808312552</v>
      </c>
      <c r="E655" s="32" t="n">
        <f aca="false">20*LOG10(MAX(D655,0.000000000001)/$K$3)</f>
        <v>15.1010821699032</v>
      </c>
    </row>
    <row r="656" customFormat="false" ht="15" hidden="false" customHeight="false" outlineLevel="0" collapsed="false">
      <c r="A656" s="13" t="n">
        <f aca="false">A655+$F$3</f>
        <v>26000</v>
      </c>
      <c r="B656" s="20" t="n">
        <f aca="false">SUMPRODUCT(固有振動数!$Q$6:$Q$22*(1-($A656/固有振動数!$O$6:$O$22)^2)/((1-($A656/固有振動数!$O$6:$O$22)^2)^2+固有振動数!$P$6:$P$22^2))</f>
        <v>-5.4231180585535</v>
      </c>
      <c r="C656" s="20" t="n">
        <f aca="false">-SUMPRODUCT(固有振動数!$Q$6:$Q$22*固有振動数!$P$6:$P$22/((1-($A656/固有振動数!$O$6:$O$22)^2)^2+固有振動数!$P$6:$P$22^2))</f>
        <v>-0.0159532278125484</v>
      </c>
      <c r="D656" s="20" t="n">
        <f aca="false">SQRT(B656^2+C656^2)</f>
        <v>5.42314152336878</v>
      </c>
      <c r="E656" s="32" t="n">
        <f aca="false">20*LOG10(MAX(D656,0.000000000001)/$K$3)</f>
        <v>14.6850187603526</v>
      </c>
    </row>
    <row r="657" customFormat="false" ht="15" hidden="false" customHeight="false" outlineLevel="0" collapsed="false">
      <c r="A657" s="13" t="n">
        <f aca="false">A656+$F$3</f>
        <v>26040</v>
      </c>
      <c r="B657" s="20" t="n">
        <f aca="false">SUMPRODUCT(固有振動数!$Q$6:$Q$22*(1-($A657/固有振動数!$O$6:$O$22)^2)/((1-($A657/固有振動数!$O$6:$O$22)^2)^2+固有振動数!$P$6:$P$22^2))</f>
        <v>-5.16482427017075</v>
      </c>
      <c r="C657" s="20" t="n">
        <f aca="false">-SUMPRODUCT(固有振動数!$Q$6:$Q$22*固有振動数!$P$6:$P$22/((1-($A657/固有振動数!$O$6:$O$22)^2)^2+固有振動数!$P$6:$P$22^2))</f>
        <v>-0.0155375752652403</v>
      </c>
      <c r="D657" s="20" t="n">
        <f aca="false">SQRT(B657^2+C657^2)</f>
        <v>5.16484764131431</v>
      </c>
      <c r="E657" s="32" t="n">
        <f aca="false">20*LOG10(MAX(D657,0.000000000001)/$K$3)</f>
        <v>14.2611502944122</v>
      </c>
    </row>
    <row r="658" customFormat="false" ht="15" hidden="false" customHeight="false" outlineLevel="0" collapsed="false">
      <c r="A658" s="13" t="n">
        <f aca="false">A657+$F$3</f>
        <v>26080</v>
      </c>
      <c r="B658" s="20" t="n">
        <f aca="false">SUMPRODUCT(固有振動数!$Q$6:$Q$22*(1-($A658/固有振動数!$O$6:$O$22)^2)/((1-($A658/固有振動数!$O$6:$O$22)^2)^2+固有振動数!$P$6:$P$22^2))</f>
        <v>-4.91390048084668</v>
      </c>
      <c r="C658" s="20" t="n">
        <f aca="false">-SUMPRODUCT(固有振動数!$Q$6:$Q$22*固有振動数!$P$6:$P$22/((1-($A658/固有振動数!$O$6:$O$22)^2)^2+固有振動数!$P$6:$P$22^2))</f>
        <v>-0.0151461115918694</v>
      </c>
      <c r="D658" s="20" t="n">
        <f aca="false">SQRT(B658^2+C658^2)</f>
        <v>4.91392382321517</v>
      </c>
      <c r="E658" s="32" t="n">
        <f aca="false">20*LOG10(MAX(D658,0.000000000001)/$K$3)</f>
        <v>13.8285683932527</v>
      </c>
    </row>
    <row r="659" customFormat="false" ht="15" hidden="false" customHeight="false" outlineLevel="0" collapsed="false">
      <c r="A659" s="13" t="n">
        <f aca="false">A658+$F$3</f>
        <v>26120</v>
      </c>
      <c r="B659" s="20" t="n">
        <f aca="false">SUMPRODUCT(固有振動数!$Q$6:$Q$22*(1-($A659/固有振動数!$O$6:$O$22)^2)/((1-($A659/固有振動数!$O$6:$O$22)^2)^2+固有振動数!$P$6:$P$22^2))</f>
        <v>-4.66994462653361</v>
      </c>
      <c r="C659" s="20" t="n">
        <f aca="false">-SUMPRODUCT(固有振動数!$Q$6:$Q$22*固有振動数!$P$6:$P$22/((1-($A659/固有振動数!$O$6:$O$22)^2)^2+固有振動数!$P$6:$P$22^2))</f>
        <v>-0.0147771406268434</v>
      </c>
      <c r="D659" s="20" t="n">
        <f aca="false">SQRT(B659^2+C659^2)</f>
        <v>4.66996800618326</v>
      </c>
      <c r="E659" s="32" t="n">
        <f aca="false">20*LOG10(MAX(D659,0.000000000001)/$K$3)</f>
        <v>13.3862781047455</v>
      </c>
    </row>
    <row r="660" customFormat="false" ht="15" hidden="false" customHeight="false" outlineLevel="0" collapsed="false">
      <c r="A660" s="13" t="n">
        <f aca="false">A659+$F$3</f>
        <v>26160</v>
      </c>
      <c r="B660" s="20" t="n">
        <f aca="false">SUMPRODUCT(固有振動数!$Q$6:$Q$22*(1-($A660/固有振動数!$O$6:$O$22)^2)/((1-($A660/固有振動数!$O$6:$O$22)^2)^2+固有振動数!$P$6:$P$22^2))</f>
        <v>-4.43258244040745</v>
      </c>
      <c r="C660" s="20" t="n">
        <f aca="false">-SUMPRODUCT(固有振動数!$Q$6:$Q$22*固有振動数!$P$6:$P$22/((1-($A660/固有振動数!$O$6:$O$22)^2)^2+固有振動数!$P$6:$P$22^2))</f>
        <v>-0.0144291189651097</v>
      </c>
      <c r="D660" s="20" t="n">
        <f aca="false">SQRT(B660^2+C660^2)</f>
        <v>4.43260592546671</v>
      </c>
      <c r="E660" s="32" t="n">
        <f aca="false">20*LOG10(MAX(D660,0.000000000001)/$K$3)</f>
        <v>12.9331824536306</v>
      </c>
    </row>
    <row r="661" customFormat="false" ht="15" hidden="false" customHeight="false" outlineLevel="0" collapsed="false">
      <c r="A661" s="13" t="n">
        <f aca="false">A660+$F$3</f>
        <v>26200</v>
      </c>
      <c r="B661" s="20" t="n">
        <f aca="false">SUMPRODUCT(固有振動数!$Q$6:$Q$22*(1-($A661/固有振動数!$O$6:$O$22)^2)/((1-($A661/固有振動数!$O$6:$O$22)^2)^2+固有振動数!$P$6:$P$22^2))</f>
        <v>-4.20146499478993</v>
      </c>
      <c r="C661" s="20" t="n">
        <f aca="false">-SUMPRODUCT(固有振動数!$Q$6:$Q$22*固有振動数!$P$6:$P$22/((1-($A661/固有振動数!$O$6:$O$22)^2)^2+固有振動数!$P$6:$P$22^2))</f>
        <v>-0.0141006397083727</v>
      </c>
      <c r="D661" s="20" t="n">
        <f aca="false">SQRT(B661^2+C661^2)</f>
        <v>4.20148865647467</v>
      </c>
      <c r="E661" s="32" t="n">
        <f aca="false">20*LOG10(MAX(D661,0.000000000001)/$K$3)</f>
        <v>12.468063906736</v>
      </c>
    </row>
    <row r="662" customFormat="false" ht="15" hidden="false" customHeight="false" outlineLevel="0" collapsed="false">
      <c r="A662" s="13" t="n">
        <f aca="false">A661+$F$3</f>
        <v>26240</v>
      </c>
      <c r="B662" s="20" t="n">
        <f aca="false">SUMPRODUCT(固有振動数!$Q$6:$Q$22*(1-($A662/固有振動数!$O$6:$O$22)^2)/((1-($A662/固有振動数!$O$6:$O$22)^2)^2+固有振動数!$P$6:$P$22^2))</f>
        <v>-3.9762665011925</v>
      </c>
      <c r="C662" s="20" t="n">
        <f aca="false">-SUMPRODUCT(固有振動数!$Q$6:$Q$22*固有振動数!$P$6:$P$22/((1-($A662/固有振動数!$O$6:$O$22)^2)^2+固有振動数!$P$6:$P$22^2))</f>
        <v>-0.0137904182169298</v>
      </c>
      <c r="D662" s="20" t="n">
        <f aca="false">SQRT(B662^2+C662^2)</f>
        <v>3.97629041496471</v>
      </c>
      <c r="E662" s="32" t="n">
        <f aca="false">20*LOG10(MAX(D662,0.000000000001)/$K$3)</f>
        <v>11.9895619260278</v>
      </c>
    </row>
    <row r="663" customFormat="false" ht="15" hidden="false" customHeight="false" outlineLevel="0" collapsed="false">
      <c r="A663" s="13" t="n">
        <f aca="false">A662+$F$3</f>
        <v>26280</v>
      </c>
      <c r="B663" s="20" t="n">
        <f aca="false">SUMPRODUCT(固有振動数!$Q$6:$Q$22*(1-($A663/固有振動数!$O$6:$O$22)^2)/((1-($A663/固有振動数!$O$6:$O$22)^2)^2+固有振動数!$P$6:$P$22^2))</f>
        <v>-3.7566823370235</v>
      </c>
      <c r="C663" s="20" t="n">
        <f aca="false">-SUMPRODUCT(固有振動数!$Q$6:$Q$22*固有振動数!$P$6:$P$22/((1-($A663/固有振動数!$O$6:$O$22)^2)^2+固有振動数!$P$6:$P$22^2))</f>
        <v>-0.0134972795877086</v>
      </c>
      <c r="D663" s="20" t="n">
        <f aca="false">SQRT(B663^2+C663^2)</f>
        <v>3.75670658394565</v>
      </c>
      <c r="E663" s="32" t="n">
        <f aca="false">20*LOG10(MAX(D663,0.000000000001)/$K$3)</f>
        <v>11.4961455198486</v>
      </c>
    </row>
    <row r="664" customFormat="false" ht="15" hidden="false" customHeight="false" outlineLevel="0" collapsed="false">
      <c r="A664" s="13" t="n">
        <f aca="false">A663+$F$3</f>
        <v>26320</v>
      </c>
      <c r="B664" s="20" t="n">
        <f aca="false">SUMPRODUCT(固有振動数!$Q$6:$Q$22*(1-($A664/固有振動数!$O$6:$O$22)^2)/((1-($A664/固有振動数!$O$6:$O$22)^2)^2+固有振動数!$P$6:$P$22^2))</f>
        <v>-3.542427271835</v>
      </c>
      <c r="C664" s="20" t="n">
        <f aca="false">-SUMPRODUCT(固有振動数!$Q$6:$Q$22*固有振動数!$P$6:$P$22/((1-($A664/固有振動数!$O$6:$O$22)^2)^2+固有振動数!$P$6:$P$22^2))</f>
        <v>-0.0132201476223534</v>
      </c>
      <c r="D664" s="20" t="n">
        <f aca="false">SQRT(B664^2+C664^2)</f>
        <v>3.54245194018825</v>
      </c>
      <c r="E664" s="32" t="n">
        <f aca="false">20*LOG10(MAX(D664,0.000000000001)/$K$3)</f>
        <v>10.9860793392784</v>
      </c>
    </row>
    <row r="665" customFormat="false" ht="15" hidden="false" customHeight="false" outlineLevel="0" collapsed="false">
      <c r="A665" s="13" t="n">
        <f aca="false">A664+$F$3</f>
        <v>26360</v>
      </c>
      <c r="B665" s="20" t="n">
        <f aca="false">SUMPRODUCT(固有振動数!$Q$6:$Q$22*(1-($A665/固有振動数!$O$6:$O$22)^2)/((1-($A665/固有振動数!$O$6:$O$22)^2)^2+固有振動数!$P$6:$P$22^2))</f>
        <v>-3.33323386965567</v>
      </c>
      <c r="C665" s="20" t="n">
        <f aca="false">-SUMPRODUCT(固有振動数!$Q$6:$Q$22*固有振動数!$P$6:$P$22/((1-($A665/固有振動数!$O$6:$O$22)^2)^2+固有振動数!$P$6:$P$22^2))</f>
        <v>-0.0129580350851334</v>
      </c>
      <c r="D665" s="20" t="n">
        <f aca="false">SQRT(B665^2+C665^2)</f>
        <v>3.33325905691307</v>
      </c>
      <c r="E665" s="32" t="n">
        <f aca="false">20*LOG10(MAX(D665,0.000000000001)/$K$3)</f>
        <v>10.4573813564136</v>
      </c>
    </row>
    <row r="666" customFormat="false" ht="15" hidden="false" customHeight="false" outlineLevel="0" collapsed="false">
      <c r="A666" s="13" t="n">
        <f aca="false">A665+$F$3</f>
        <v>26400</v>
      </c>
      <c r="B666" s="20" t="n">
        <f aca="false">SUMPRODUCT(固有振動数!$Q$6:$Q$22*(1-($A666/固有振動数!$O$6:$O$22)^2)/((1-($A666/固有振動数!$O$6:$O$22)^2)^2+固有振動数!$P$6:$P$22^2))</f>
        <v>-3.12885104707336</v>
      </c>
      <c r="C666" s="20" t="n">
        <f aca="false">-SUMPRODUCT(固有振動数!$Q$6:$Q$22*固有振動数!$P$6:$P$22/((1-($A666/固有振動数!$O$6:$O$22)^2)^2+固有振動数!$P$6:$P$22^2))</f>
        <v>-0.0127100350803738</v>
      </c>
      <c r="D666" s="20" t="n">
        <f aca="false">SQRT(B666^2+C666^2)</f>
        <v>3.12887686235234</v>
      </c>
      <c r="E666" s="32" t="n">
        <f aca="false">20*LOG10(MAX(D666,0.000000000001)/$K$3)</f>
        <v>9.90776943452375</v>
      </c>
    </row>
    <row r="667" customFormat="false" ht="15" hidden="false" customHeight="false" outlineLevel="0" collapsed="false">
      <c r="A667" s="13" t="n">
        <f aca="false">A666+$F$3</f>
        <v>26440</v>
      </c>
      <c r="B667" s="20" t="n">
        <f aca="false">SUMPRODUCT(固有振動数!$Q$6:$Q$22*(1-($A667/固有振動数!$O$6:$O$22)^2)/((1-($A667/固有振動数!$O$6:$O$22)^2)^2+固有振動数!$P$6:$P$22^2))</f>
        <v>-2.92904276938728</v>
      </c>
      <c r="C667" s="20" t="n">
        <f aca="false">-SUMPRODUCT(固有振動数!$Q$6:$Q$22*固有振動数!$P$6:$P$22/((1-($A667/固有振動数!$O$6:$O$22)^2)^2+固有振動数!$P$6:$P$22^2))</f>
        <v>-0.0124753134041358</v>
      </c>
      <c r="D667" s="20" t="n">
        <f aca="false">SQRT(B667^2+C667^2)</f>
        <v>2.9290693365546</v>
      </c>
      <c r="E667" s="32" t="n">
        <f aca="false">20*LOG10(MAX(D667,0.000000000001)/$K$3)</f>
        <v>9.33459304733389</v>
      </c>
    </row>
    <row r="668" customFormat="false" ht="15" hidden="false" customHeight="false" outlineLevel="0" collapsed="false">
      <c r="A668" s="13" t="n">
        <f aca="false">A667+$F$3</f>
        <v>26480</v>
      </c>
      <c r="B668" s="20" t="n">
        <f aca="false">SUMPRODUCT(固有振動数!$Q$6:$Q$22*(1-($A668/固有振動数!$O$6:$O$22)^2)/((1-($A668/固有振動数!$O$6:$O$22)^2)^2+固有振動数!$P$6:$P$22^2))</f>
        <v>-2.73358686941982</v>
      </c>
      <c r="C668" s="20" t="n">
        <f aca="false">-SUMPRODUCT(固有振動数!$Q$6:$Q$22*固有振動数!$P$6:$P$22/((1-($A668/固有振動数!$O$6:$O$22)^2)^2+固有振動数!$P$6:$P$22^2))</f>
        <v>-0.0122531017458622</v>
      </c>
      <c r="D668" s="20" t="n">
        <f aca="false">SQRT(B668^2+C668^2)</f>
        <v>2.73361433109479</v>
      </c>
      <c r="E668" s="32" t="n">
        <f aca="false">20*LOG10(MAX(D668,0.000000000001)/$K$3)</f>
        <v>8.7347448520965</v>
      </c>
    </row>
    <row r="669" customFormat="false" ht="15" hidden="false" customHeight="false" outlineLevel="0" collapsed="false">
      <c r="A669" s="13" t="n">
        <f aca="false">A668+$F$3</f>
        <v>26520</v>
      </c>
      <c r="B669" s="20" t="n">
        <f aca="false">SUMPRODUCT(固有振動数!$Q$6:$Q$22*(1-($A669/固有振動数!$O$6:$O$22)^2)/((1-($A669/固有振動数!$O$6:$O$22)^2)^2+固有振動数!$P$6:$P$22^2))</f>
        <v>-2.54227397552304</v>
      </c>
      <c r="C669" s="20" t="n">
        <f aca="false">-SUMPRODUCT(固有振動数!$Q$6:$Q$22*固有振動数!$P$6:$P$22/((1-($A669/固有振動数!$O$6:$O$22)^2)^2+固有振動数!$P$6:$P$22^2))</f>
        <v>-0.0120426916333663</v>
      </c>
      <c r="D669" s="20" t="n">
        <f aca="false">SQRT(B669^2+C669^2)</f>
        <v>2.54230249833561</v>
      </c>
      <c r="E669" s="32" t="n">
        <f aca="false">20*LOG10(MAX(D669,0.000000000001)/$K$3)</f>
        <v>8.10454448487779</v>
      </c>
    </row>
    <row r="670" customFormat="false" ht="15" hidden="false" customHeight="false" outlineLevel="0" collapsed="false">
      <c r="A670" s="13" t="n">
        <f aca="false">A669+$F$3</f>
        <v>26560</v>
      </c>
      <c r="B670" s="20" t="n">
        <f aca="false">SUMPRODUCT(固有振動数!$Q$6:$Q$22*(1-($A670/固有振動数!$O$6:$O$22)^2)/((1-($A670/固有振動数!$O$6:$O$22)^2)^2+固有振動数!$P$6:$P$22^2))</f>
        <v>-2.35490653698627</v>
      </c>
      <c r="C670" s="20" t="n">
        <f aca="false">-SUMPRODUCT(固有振動数!$Q$6:$Q$22*固有振動数!$P$6:$P$22/((1-($A670/固有振動数!$O$6:$O$22)^2)^2+固有振動数!$P$6:$P$22^2))</f>
        <v>-0.0118434290294484</v>
      </c>
      <c r="D670" s="20" t="n">
        <f aca="false">SQRT(B670^2+C670^2)</f>
        <v>2.35493631861922</v>
      </c>
      <c r="E670" s="32" t="n">
        <f aca="false">20*LOG10(MAX(D670,0.000000000001)/$K$3)</f>
        <v>7.4395833516235</v>
      </c>
    </row>
    <row r="671" customFormat="false" ht="15" hidden="false" customHeight="false" outlineLevel="0" collapsed="false">
      <c r="A671" s="13" t="n">
        <f aca="false">A670+$F$3</f>
        <v>26600</v>
      </c>
      <c r="B671" s="20" t="n">
        <f aca="false">SUMPRODUCT(固有振動数!$Q$6:$Q$22*(1-($A671/固有振動数!$O$6:$O$22)^2)/((1-($A671/固有振動数!$O$6:$O$22)^2)^2+固有振動数!$P$6:$P$22^2))</f>
        <v>-2.17129793649187</v>
      </c>
      <c r="C671" s="20" t="n">
        <f aca="false">-SUMPRODUCT(固有振動数!$Q$6:$Q$22*固有振動数!$P$6:$P$22/((1-($A671/固有振動数!$O$6:$O$22)^2)^2+固有振動数!$P$6:$P$22^2))</f>
        <v>-0.0116547095010467</v>
      </c>
      <c r="D671" s="20" t="n">
        <f aca="false">SQRT(B671^2+C671^2)</f>
        <v>2.17132921531199</v>
      </c>
      <c r="E671" s="32" t="n">
        <f aca="false">20*LOG10(MAX(D671,0.000000000001)/$K$3)</f>
        <v>6.73451351702779</v>
      </c>
    </row>
    <row r="672" customFormat="false" ht="15" hidden="false" customHeight="false" outlineLevel="0" collapsed="false">
      <c r="A672" s="13" t="n">
        <f aca="false">A671+$F$3</f>
        <v>26640</v>
      </c>
      <c r="B672" s="20" t="n">
        <f aca="false">SUMPRODUCT(固有振動数!$Q$6:$Q$22*(1-($A672/固有振動数!$O$6:$O$22)^2)/((1-($A672/固有振動数!$O$6:$O$22)^2)^2+固有振動数!$P$6:$P$22^2))</f>
        <v>-1.99127168050945</v>
      </c>
      <c r="C672" s="20" t="n">
        <f aca="false">-SUMPRODUCT(固有振動数!$Q$6:$Q$22*固有振動数!$P$6:$P$22/((1-($A672/固有振動数!$O$6:$O$22)^2)^2+固有振動数!$P$6:$P$22^2))</f>
        <v>-0.0114759738925369</v>
      </c>
      <c r="D672" s="20" t="n">
        <f aca="false">SQRT(B672^2+C672^2)</f>
        <v>1.99130474904664</v>
      </c>
      <c r="E672" s="32" t="n">
        <f aca="false">20*LOG10(MAX(D672,0.000000000001)/$K$3)</f>
        <v>5.98275458981315</v>
      </c>
    </row>
    <row r="673" customFormat="false" ht="15" hidden="false" customHeight="false" outlineLevel="0" collapsed="false">
      <c r="A673" s="13" t="n">
        <f aca="false">A672+$F$3</f>
        <v>26680</v>
      </c>
      <c r="B673" s="20" t="n">
        <f aca="false">SUMPRODUCT(固有振動数!$Q$6:$Q$22*(1-($A673/固有振動数!$O$6:$O$22)^2)/((1-($A673/固有振動数!$O$6:$O$22)^2)^2+固有振動数!$P$6:$P$22^2))</f>
        <v>-1.81466065959665</v>
      </c>
      <c r="C673" s="20" t="n">
        <f aca="false">-SUMPRODUCT(固有振動数!$Q$6:$Q$22*固有振動数!$P$6:$P$22/((1-($A673/固有振動数!$O$6:$O$22)^2)^2+固有振動数!$P$6:$P$22^2))</f>
        <v>-0.0113067044439208</v>
      </c>
      <c r="D673" s="20" t="n">
        <f aca="false">SQRT(B673^2+C673^2)</f>
        <v>1.81469588390263</v>
      </c>
      <c r="E673" s="32" t="n">
        <f aca="false">20*LOG10(MAX(D673,0.000000000001)/$K$3)</f>
        <v>5.17607708320779</v>
      </c>
    </row>
    <row r="674" customFormat="false" ht="15" hidden="false" customHeight="false" outlineLevel="0" collapsed="false">
      <c r="A674" s="13" t="n">
        <f aca="false">A673+$F$3</f>
        <v>26720</v>
      </c>
      <c r="B674" s="20" t="n">
        <f aca="false">SUMPRODUCT(固有振動数!$Q$6:$Q$22*(1-($A674/固有振動数!$O$6:$O$22)^2)/((1-($A674/固有振動数!$O$6:$O$22)^2)^2+固有振動数!$P$6:$P$22^2))</f>
        <v>-1.64130647150902</v>
      </c>
      <c r="C674" s="20" t="n">
        <f aca="false">-SUMPRODUCT(固有振動数!$Q$6:$Q$22*固有振動数!$P$6:$P$22/((1-($A674/固有振動数!$O$6:$O$22)^2)^2+固有振動数!$P$6:$P$22^2))</f>
        <v>-0.0111464213024233</v>
      </c>
      <c r="D674" s="20" t="n">
        <f aca="false">SQRT(B674^2+C674^2)</f>
        <v>1.64134431979559</v>
      </c>
      <c r="E674" s="32" t="n">
        <f aca="false">20*LOG10(MAX(D674,0.000000000001)/$K$3)</f>
        <v>4.30399393064567</v>
      </c>
    </row>
    <row r="675" customFormat="false" ht="15" hidden="false" customHeight="false" outlineLevel="0" collapsed="false">
      <c r="A675" s="13" t="n">
        <f aca="false">A674+$F$3</f>
        <v>26760</v>
      </c>
      <c r="B675" s="20" t="n">
        <f aca="false">SUMPRODUCT(固有振動数!$Q$6:$Q$22*(1-($A675/固有振動数!$O$6:$O$22)^2)/((1-($A675/固有振動数!$O$6:$O$22)^2)^2+固有振動数!$P$6:$P$22^2))</f>
        <v>-1.47105880083464</v>
      </c>
      <c r="C675" s="20" t="n">
        <f aca="false">-SUMPRODUCT(固有振動数!$Q$6:$Q$22*固有振動数!$P$6:$P$22/((1-($A675/固有振動数!$O$6:$O$22)^2)^2+固有振動数!$P$6:$P$22^2))</f>
        <v>-0.0109946793826823</v>
      </c>
      <c r="D675" s="20" t="n">
        <f aca="false">SQRT(B675^2+C675^2)</f>
        <v>1.47109988732505</v>
      </c>
      <c r="E675" s="32" t="n">
        <f aca="false">20*LOG10(MAX(D675,0.000000000001)/$K$3)</f>
        <v>3.35284324437093</v>
      </c>
    </row>
    <row r="676" customFormat="false" ht="15" hidden="false" customHeight="false" outlineLevel="0" collapsed="false">
      <c r="A676" s="13" t="n">
        <f aca="false">A675+$F$3</f>
        <v>26800</v>
      </c>
      <c r="B676" s="20" t="n">
        <f aca="false">SUMPRODUCT(固有振動数!$Q$6:$Q$22*(1-($A676/固有振動数!$O$6:$O$22)^2)/((1-($A676/固有振動数!$O$6:$O$22)^2)^2+固有振動数!$P$6:$P$22^2))</f>
        <v>-1.30377484957894</v>
      </c>
      <c r="C676" s="20" t="n">
        <f aca="false">-SUMPRODUCT(固有振動数!$Q$6:$Q$22*固有振動数!$P$6:$P$22/((1-($A676/固有振動数!$O$6:$O$22)^2)^2+固有振動数!$P$6:$P$22^2))</f>
        <v>-0.0108510655364278</v>
      </c>
      <c r="D676" s="20" t="n">
        <f aca="false">SQRT(B676^2+C676^2)</f>
        <v>1.30382000445532</v>
      </c>
      <c r="E676" s="32" t="n">
        <f aca="false">20*LOG10(MAX(D676,0.000000000001)/$K$3)</f>
        <v>2.30435280234397</v>
      </c>
    </row>
    <row r="677" customFormat="false" ht="15" hidden="false" customHeight="false" outlineLevel="0" collapsed="false">
      <c r="A677" s="13" t="n">
        <f aca="false">A676+$F$3</f>
        <v>26840</v>
      </c>
      <c r="B677" s="20" t="n">
        <f aca="false">SUMPRODUCT(固有振動数!$Q$6:$Q$22*(1-($A677/固有振動数!$O$6:$O$22)^2)/((1-($A677/固有振動数!$O$6:$O$22)^2)^2+固有振動数!$P$6:$P$22^2))</f>
        <v>-1.13931881374365</v>
      </c>
      <c r="C677" s="20" t="n">
        <f aca="false">-SUMPRODUCT(固有振動数!$Q$6:$Q$22*固有振動数!$P$6:$P$22/((1-($A677/固有振動数!$O$6:$O$22)^2)^2+固有振動数!$P$6:$P$22^2))</f>
        <v>-0.0107151959974656</v>
      </c>
      <c r="D677" s="20" t="n">
        <f aca="false">SQRT(B677^2+C677^2)</f>
        <v>1.13936920038041</v>
      </c>
      <c r="E677" s="32" t="n">
        <f aca="false">20*LOG10(MAX(D677,0.000000000001)/$K$3)</f>
        <v>1.13328950715917</v>
      </c>
    </row>
    <row r="678" customFormat="false" ht="15" hidden="false" customHeight="false" outlineLevel="0" collapsed="false">
      <c r="A678" s="13" t="n">
        <f aca="false">A677+$F$3</f>
        <v>26880</v>
      </c>
      <c r="B678" s="20" t="n">
        <f aca="false">SUMPRODUCT(固有振動数!$Q$6:$Q$22*(1-($A678/固有振動数!$O$6:$O$22)^2)/((1-($A678/固有振動数!$O$6:$O$22)^2)^2+固有振動数!$P$6:$P$22^2))</f>
        <v>-0.977561401486912</v>
      </c>
      <c r="C678" s="20" t="n">
        <f aca="false">-SUMPRODUCT(固有振動数!$Q$6:$Q$22*固有振動数!$P$6:$P$22/((1-($A678/固有振動数!$O$6:$O$22)^2)^2+固有振動数!$P$6:$P$22^2))</f>
        <v>-0.0105867140720134</v>
      </c>
      <c r="D678" s="20" t="n">
        <f aca="false">SQRT(B678^2+C678^2)</f>
        <v>0.977618725368893</v>
      </c>
      <c r="E678" s="32" t="n">
        <f aca="false">20*LOG10(MAX(D678,0.000000000001)/$K$3)</f>
        <v>-0.196609770375393</v>
      </c>
    </row>
    <row r="679" customFormat="false" ht="15" hidden="false" customHeight="false" outlineLevel="0" collapsed="false">
      <c r="A679" s="13" t="n">
        <f aca="false">A678+$F$3</f>
        <v>26920</v>
      </c>
      <c r="B679" s="20" t="n">
        <f aca="false">SUMPRODUCT(固有振動数!$Q$6:$Q$22*(1-($A679/固有振動数!$O$6:$O$22)^2)/((1-($A679/固有振動数!$O$6:$O$22)^2)^2+固有振動数!$P$6:$P$22^2))</f>
        <v>-0.818379388927198</v>
      </c>
      <c r="C679" s="20" t="n">
        <f aca="false">-SUMPRODUCT(固有振動数!$Q$6:$Q$22*固有振動数!$P$6:$P$22/((1-($A679/固有振動数!$O$6:$O$22)^2)^2+固有振動数!$P$6:$P$22^2))</f>
        <v>-0.0104652880481008</v>
      </c>
      <c r="D679" s="20" t="n">
        <f aca="false">SQRT(B679^2+C679^2)</f>
        <v>0.818446300300016</v>
      </c>
      <c r="E679" s="32" t="n">
        <f aca="false">20*LOG10(MAX(D679,0.000000000001)/$K$3)</f>
        <v>-1.74019620282816</v>
      </c>
    </row>
    <row r="680" customFormat="false" ht="15" hidden="false" customHeight="false" outlineLevel="0" collapsed="false">
      <c r="A680" s="13" t="n">
        <f aca="false">A679+$F$3</f>
        <v>26960</v>
      </c>
      <c r="B680" s="20" t="n">
        <f aca="false">SUMPRODUCT(固有振動数!$Q$6:$Q$22*(1-($A680/固有振動数!$O$6:$O$22)^2)/((1-($A680/固有振動数!$O$6:$O$22)^2)^2+固有振動数!$P$6:$P$22^2))</f>
        <v>-0.661655210071788</v>
      </c>
      <c r="C680" s="20" t="n">
        <f aca="false">-SUMPRODUCT(固有振動数!$Q$6:$Q$22*固有振動数!$P$6:$P$22/((1-($A680/固有振動数!$O$6:$O$22)^2)^2+固有振動数!$P$6:$P$22^2))</f>
        <v>-0.0103506093009147</v>
      </c>
      <c r="D680" s="20" t="n">
        <f aca="false">SQRT(B680^2+C680^2)</f>
        <v>0.661736165044682</v>
      </c>
      <c r="E680" s="32" t="n">
        <f aca="false">20*LOG10(MAX(D680,0.000000000001)/$K$3)</f>
        <v>-3.58630259501846</v>
      </c>
    </row>
    <row r="681" customFormat="false" ht="15" hidden="false" customHeight="false" outlineLevel="0" collapsed="false">
      <c r="A681" s="13" t="n">
        <f aca="false">A680+$F$3</f>
        <v>27000</v>
      </c>
      <c r="B681" s="20" t="n">
        <f aca="false">SUMPRODUCT(固有振動数!$Q$6:$Q$22*(1-($A681/固有振動数!$O$6:$O$22)^2)/((1-($A681/固有振動数!$O$6:$O$22)^2)^2+固有振動数!$P$6:$P$22^2))</f>
        <v>-0.507276577718976</v>
      </c>
      <c r="C681" s="20" t="n">
        <f aca="false">-SUMPRODUCT(固有振動数!$Q$6:$Q$22*固有振動数!$P$6:$P$22/((1-($A681/固有振動数!$O$6:$O$22)^2)^2+固有振動数!$P$6:$P$22^2))</f>
        <v>-0.0102423905737207</v>
      </c>
      <c r="D681" s="20" t="n">
        <f aca="false">SQRT(B681^2+C681^2)</f>
        <v>0.507379968925598</v>
      </c>
      <c r="E681" s="32" t="n">
        <f aca="false">20*LOG10(MAX(D681,0.000000000001)/$K$3)</f>
        <v>-5.89333364953056</v>
      </c>
    </row>
    <row r="682" customFormat="false" ht="15" hidden="false" customHeight="false" outlineLevel="0" collapsed="false">
      <c r="A682" s="13" t="n">
        <f aca="false">A681+$F$3</f>
        <v>27040</v>
      </c>
      <c r="B682" s="20" t="n">
        <f aca="false">SUMPRODUCT(固有振動数!$Q$6:$Q$22*(1-($A682/固有振動数!$O$6:$O$22)^2)/((1-($A682/固有振動数!$O$6:$O$22)^2)^2+固有振動数!$P$6:$P$22^2))</f>
        <v>-0.355136132508138</v>
      </c>
      <c r="C682" s="20" t="n">
        <f aca="false">-SUMPRODUCT(固有振動数!$Q$6:$Q$22*固有振動数!$P$6:$P$22/((1-($A682/固有振動数!$O$6:$O$22)^2)^2+固有振動数!$P$6:$P$22^2))</f>
        <v>-0.010140364416386</v>
      </c>
      <c r="D682" s="20" t="n">
        <f aca="false">SQRT(B682^2+C682^2)</f>
        <v>0.355280874243653</v>
      </c>
      <c r="E682" s="32" t="n">
        <f aca="false">20*LOG10(MAX(D682,0.000000000001)/$K$3)</f>
        <v>-8.98856342319474</v>
      </c>
    </row>
    <row r="683" customFormat="false" ht="15" hidden="false" customHeight="false" outlineLevel="0" collapsed="false">
      <c r="A683" s="13" t="n">
        <f aca="false">A682+$F$3</f>
        <v>27080</v>
      </c>
      <c r="B683" s="20" t="n">
        <f aca="false">SUMPRODUCT(固有振動数!$Q$6:$Q$22*(1-($A683/固有振動数!$O$6:$O$22)^2)/((1-($A683/固有振動数!$O$6:$O$22)^2)^2+固有振動数!$P$6:$P$22^2))</f>
        <v>-0.205131117578589</v>
      </c>
      <c r="C683" s="20" t="n">
        <f aca="false">-SUMPRODUCT(固有振動数!$Q$6:$Q$22*固有振動数!$P$6:$P$22/((1-($A683/固有振動数!$O$6:$O$22)^2)^2+固有振動数!$P$6:$P$22^2))</f>
        <v>-0.0100442817656139</v>
      </c>
      <c r="D683" s="20" t="n">
        <f aca="false">SQRT(B683^2+C683^2)</f>
        <v>0.205376880381478</v>
      </c>
      <c r="E683" s="32" t="n">
        <f aca="false">20*LOG10(MAX(D683,0.000000000001)/$K$3)</f>
        <v>-13.7489689448505</v>
      </c>
    </row>
    <row r="684" customFormat="false" ht="15" hidden="false" customHeight="false" outlineLevel="0" collapsed="false">
      <c r="A684" s="13" t="n">
        <f aca="false">A683+$F$3</f>
        <v>27120</v>
      </c>
      <c r="B684" s="20" t="n">
        <f aca="false">SUMPRODUCT(固有振動数!$Q$6:$Q$22*(1-($A684/固有振動数!$O$6:$O$22)^2)/((1-($A684/固有振動数!$O$6:$O$22)^2)^2+固有振動数!$P$6:$P$22^2))</f>
        <v>-0.057163076552728</v>
      </c>
      <c r="C684" s="20" t="n">
        <f aca="false">-SUMPRODUCT(固有振動数!$Q$6:$Q$22*固有振動数!$P$6:$P$22/((1-($A684/固有振動数!$O$6:$O$22)^2)^2+固有振動数!$P$6:$P$22^2))</f>
        <v>-0.00995391065281936</v>
      </c>
      <c r="D684" s="20" t="n">
        <f aca="false">SQRT(B684^2+C684^2)</f>
        <v>0.0580232510142043</v>
      </c>
      <c r="E684" s="32" t="n">
        <f aca="false">20*LOG10(MAX(D684,0.000000000001)/$K$3)</f>
        <v>-24.7279588309102</v>
      </c>
    </row>
    <row r="685" customFormat="false" ht="15" hidden="false" customHeight="false" outlineLevel="0" collapsed="false">
      <c r="A685" s="13" t="n">
        <f aca="false">A684+$F$3</f>
        <v>27160</v>
      </c>
      <c r="B685" s="20" t="n">
        <f aca="false">SUMPRODUCT(固有振動数!$Q$6:$Q$22*(1-($A685/固有振動数!$O$6:$O$22)^2)/((1-($A685/固有振動数!$O$6:$O$22)^2)^2+固有振動数!$P$6:$P$22^2))</f>
        <v>0.0888624272160672</v>
      </c>
      <c r="C685" s="20" t="n">
        <f aca="false">-SUMPRODUCT(固有振動数!$Q$6:$Q$22*固有振動数!$P$6:$P$22/((1-($A685/固有振動数!$O$6:$O$22)^2)^2+固有振動数!$P$6:$P$22^2))</f>
        <v>-0.00986903502717129</v>
      </c>
      <c r="D685" s="20" t="n">
        <f aca="false">SQRT(B685^2+C685^2)</f>
        <v>0.0894087737478732</v>
      </c>
      <c r="E685" s="32" t="n">
        <f aca="false">20*LOG10(MAX(D685,0.000000000001)/$K$3)</f>
        <v>-20.9723972296023</v>
      </c>
    </row>
    <row r="686" customFormat="false" ht="15" hidden="false" customHeight="false" outlineLevel="0" collapsed="false">
      <c r="A686" s="13" t="n">
        <f aca="false">A685+$F$3</f>
        <v>27200</v>
      </c>
      <c r="B686" s="20" t="n">
        <f aca="false">SUMPRODUCT(固有振動数!$Q$6:$Q$22*(1-($A686/固有振動数!$O$6:$O$22)^2)/((1-($A686/固有振動数!$O$6:$O$22)^2)^2+固有振動数!$P$6:$P$22^2))</f>
        <v>0.233036071989997</v>
      </c>
      <c r="C686" s="20" t="n">
        <f aca="false">-SUMPRODUCT(固有振動数!$Q$6:$Q$22*固有振動数!$P$6:$P$22/((1-($A686/固有振動数!$O$6:$O$22)^2)^2+固有振動数!$P$6:$P$22^2))</f>
        <v>-0.00978945368272175</v>
      </c>
      <c r="D686" s="20" t="n">
        <f aca="false">SQRT(B686^2+C686^2)</f>
        <v>0.233241600603179</v>
      </c>
      <c r="E686" s="32" t="n">
        <f aca="false">20*LOG10(MAX(D686,0.000000000001)/$K$3)</f>
        <v>-12.6438797385421</v>
      </c>
    </row>
    <row r="687" customFormat="false" ht="15" hidden="false" customHeight="false" outlineLevel="0" collapsed="false">
      <c r="A687" s="13" t="n">
        <f aca="false">A686+$F$3</f>
        <v>27240</v>
      </c>
      <c r="B687" s="20" t="n">
        <f aca="false">SUMPRODUCT(固有振動数!$Q$6:$Q$22*(1-($A687/固有振動数!$O$6:$O$22)^2)/((1-($A687/固有振動数!$O$6:$O$22)^2)^2+固有振動数!$P$6:$P$22^2))</f>
        <v>0.375445021269369</v>
      </c>
      <c r="C687" s="20" t="n">
        <f aca="false">-SUMPRODUCT(固有振動数!$Q$6:$Q$22*固有振動数!$P$6:$P$22/((1-($A687/固有振動数!$O$6:$O$22)^2)^2+固有振動数!$P$6:$P$22^2))</f>
        <v>-0.00971497927977082</v>
      </c>
      <c r="D687" s="20" t="n">
        <f aca="false">SQRT(B687^2+C687^2)</f>
        <v>0.375570692171744</v>
      </c>
      <c r="E687" s="32" t="n">
        <f aca="false">20*LOG10(MAX(D687,0.000000000001)/$K$3)</f>
        <v>-8.50616610898656</v>
      </c>
    </row>
    <row r="688" customFormat="false" ht="15" hidden="false" customHeight="false" outlineLevel="0" collapsed="false">
      <c r="A688" s="13" t="n">
        <f aca="false">A687+$F$3</f>
        <v>27280</v>
      </c>
      <c r="B688" s="20" t="n">
        <f aca="false">SUMPRODUCT(固有振動数!$Q$6:$Q$22*(1-($A688/固有振動数!$O$6:$O$22)^2)/((1-($A688/固有振動数!$O$6:$O$22)^2)^2+固有振動数!$P$6:$P$22^2))</f>
        <v>0.516173151213906</v>
      </c>
      <c r="C688" s="20" t="n">
        <f aca="false">-SUMPRODUCT(固有振動数!$Q$6:$Q$22*固有振動数!$P$6:$P$22/((1-($A688/固有振動数!$O$6:$O$22)^2)^2+固有振動数!$P$6:$P$22^2))</f>
        <v>-0.0096454374516955</v>
      </c>
      <c r="D688" s="20" t="n">
        <f aca="false">SQRT(B688^2+C688^2)</f>
        <v>0.516263262781431</v>
      </c>
      <c r="E688" s="32" t="n">
        <f aca="false">20*LOG10(MAX(D688,0.000000000001)/$K$3)</f>
        <v>-5.74257556370637</v>
      </c>
    </row>
    <row r="689" customFormat="false" ht="15" hidden="false" customHeight="false" outlineLevel="0" collapsed="false">
      <c r="A689" s="13" t="n">
        <f aca="false">A688+$F$3</f>
        <v>27320</v>
      </c>
      <c r="B689" s="20" t="n">
        <f aca="false">SUMPRODUCT(固有振動数!$Q$6:$Q$22*(1-($A689/固有振動数!$O$6:$O$22)^2)/((1-($A689/固有振動数!$O$6:$O$22)^2)^2+固有振動数!$P$6:$P$22^2))</f>
        <v>0.655301263244695</v>
      </c>
      <c r="C689" s="20" t="n">
        <f aca="false">-SUMPRODUCT(固有振動数!$Q$6:$Q$22*固有振動数!$P$6:$P$22/((1-($A689/固有振動数!$O$6:$O$22)^2)^2+固有振動数!$P$6:$P$22^2))</f>
        <v>-0.0095806659894235</v>
      </c>
      <c r="D689" s="20" t="n">
        <f aca="false">SQRT(B689^2+C689^2)</f>
        <v>0.655371295351646</v>
      </c>
      <c r="E689" s="32" t="n">
        <f aca="false">20*LOG10(MAX(D689,0.000000000001)/$K$3)</f>
        <v>-3.67025168456529</v>
      </c>
    </row>
    <row r="690" customFormat="false" ht="15" hidden="false" customHeight="false" outlineLevel="0" collapsed="false">
      <c r="A690" s="13" t="n">
        <f aca="false">A689+$F$3</f>
        <v>27360</v>
      </c>
      <c r="B690" s="20" t="n">
        <f aca="false">SUMPRODUCT(固有振動数!$Q$6:$Q$22*(1-($A690/固有振動数!$O$6:$O$22)^2)/((1-($A690/固有振動数!$O$6:$O$22)^2)^2+固有振動数!$P$6:$P$22^2))</f>
        <v>0.792907283082237</v>
      </c>
      <c r="C690" s="20" t="n">
        <f aca="false">-SUMPRODUCT(固有振動数!$Q$6:$Q$22*固有振動数!$P$6:$P$22/((1-($A690/固有振動数!$O$6:$O$22)^2)^2+固有振動数!$P$6:$P$22^2))</f>
        <v>-0.00952051409657427</v>
      </c>
      <c r="D690" s="20" t="n">
        <f aca="false">SQRT(B690^2+C690^2)</f>
        <v>0.792964437887045</v>
      </c>
      <c r="E690" s="32" t="n">
        <f aca="false">20*LOG10(MAX(D690,0.000000000001)/$K$3)</f>
        <v>-2.0149257814092</v>
      </c>
    </row>
    <row r="691" customFormat="false" ht="15" hidden="false" customHeight="false" outlineLevel="0" collapsed="false">
      <c r="A691" s="13" t="n">
        <f aca="false">A690+$F$3</f>
        <v>27400</v>
      </c>
      <c r="B691" s="20" t="n">
        <f aca="false">SUMPRODUCT(固有振動数!$Q$6:$Q$22*(1-($A691/固有振動数!$O$6:$O$22)^2)/((1-($A691/固有振動数!$O$6:$O$22)^2)^2+固有振動数!$P$6:$P$22^2))</f>
        <v>0.929066447363425</v>
      </c>
      <c r="C691" s="20" t="n">
        <f aca="false">-SUMPRODUCT(固有振動数!$Q$6:$Q$22*固有振動数!$P$6:$P$22/((1-($A691/固有振動数!$O$6:$O$22)^2)^2+固有振動数!$P$6:$P$22^2))</f>
        <v>-0.00946484170903455</v>
      </c>
      <c r="D691" s="20" t="n">
        <f aca="false">SQRT(B691^2+C691^2)</f>
        <v>0.929114657534297</v>
      </c>
      <c r="E691" s="32" t="n">
        <f aca="false">20*LOG10(MAX(D691,0.000000000001)/$K$3)</f>
        <v>-0.638613770464318</v>
      </c>
    </row>
    <row r="692" customFormat="false" ht="15" hidden="false" customHeight="false" outlineLevel="0" collapsed="false">
      <c r="A692" s="13" t="n">
        <f aca="false">A691+$F$3</f>
        <v>27440</v>
      </c>
      <c r="B692" s="20" t="n">
        <f aca="false">SUMPRODUCT(固有振動数!$Q$6:$Q$22*(1-($A692/固有振動数!$O$6:$O$22)^2)/((1-($A692/固有振動数!$O$6:$O$22)^2)^2+固有振動数!$P$6:$P$22^2))</f>
        <v>1.06385147887957</v>
      </c>
      <c r="C692" s="20" t="n">
        <f aca="false">-SUMPRODUCT(固有振動数!$Q$6:$Q$22*固有振動数!$P$6:$P$22/((1-($A692/固有振動数!$O$6:$O$22)^2)^2+固有振動数!$P$6:$P$22^2))</f>
        <v>-0.00941351887339627</v>
      </c>
      <c r="D692" s="20" t="n">
        <f aca="false">SQRT(B692^2+C692^2)</f>
        <v>1.06389312595383</v>
      </c>
      <c r="E692" s="32" t="n">
        <f aca="false">20*LOG10(MAX(D692,0.000000000001)/$K$3)</f>
        <v>0.53796005655381</v>
      </c>
    </row>
    <row r="693" customFormat="false" ht="15" hidden="false" customHeight="false" outlineLevel="0" collapsed="false">
      <c r="A693" s="13" t="n">
        <f aca="false">A692+$F$3</f>
        <v>27480</v>
      </c>
      <c r="B693" s="20" t="n">
        <f aca="false">SUMPRODUCT(固有振動数!$Q$6:$Q$22*(1-($A693/固有振動数!$O$6:$O$22)^2)/((1-($A693/固有振動数!$O$6:$O$22)^2)^2+固有振動数!$P$6:$P$22^2))</f>
        <v>1.19733275138688</v>
      </c>
      <c r="C693" s="20" t="n">
        <f aca="false">-SUMPRODUCT(固有振動数!$Q$6:$Q$22*固有振動数!$P$6:$P$22/((1-($A693/固有振動数!$O$6:$O$22)^2)^2+固有振動数!$P$6:$P$22^2))</f>
        <v>-0.00936642517927177</v>
      </c>
      <c r="D693" s="20" t="n">
        <f aca="false">SQRT(B693^2+C693^2)</f>
        <v>1.19736938639014</v>
      </c>
      <c r="E693" s="32" t="n">
        <f aca="false">20*LOG10(MAX(D693,0.000000000001)/$K$3)</f>
        <v>1.56456300350592</v>
      </c>
    </row>
    <row r="694" customFormat="false" ht="15" hidden="false" customHeight="false" outlineLevel="0" collapsed="false">
      <c r="A694" s="13" t="n">
        <f aca="false">A693+$F$3</f>
        <v>27520</v>
      </c>
      <c r="B694" s="20" t="n">
        <f aca="false">SUMPRODUCT(固有振動数!$Q$6:$Q$22*(1-($A694/固有振動数!$O$6:$O$22)^2)/((1-($A694/固有振動数!$O$6:$O$22)^2)^2+固有振動数!$P$6:$P$22^2))</f>
        <v>1.32957844486035</v>
      </c>
      <c r="C694" s="20" t="n">
        <f aca="false">-SUMPRODUCT(固有振動数!$Q$6:$Q$22*固有振動数!$P$6:$P$22/((1-($A694/固有振動数!$O$6:$O$22)^2)^2+固有振動数!$P$6:$P$22^2))</f>
        <v>-0.00932344924102394</v>
      </c>
      <c r="D694" s="20" t="n">
        <f aca="false">SQRT(B694^2+C694^2)</f>
        <v>1.32961113403244</v>
      </c>
      <c r="E694" s="32" t="n">
        <f aca="false">20*LOG10(MAX(D694,0.000000000001)/$K$3)</f>
        <v>2.474492863888</v>
      </c>
    </row>
    <row r="695" customFormat="false" ht="15" hidden="false" customHeight="false" outlineLevel="0" collapsed="false">
      <c r="A695" s="13" t="n">
        <f aca="false">A694+$F$3</f>
        <v>27560</v>
      </c>
      <c r="B695" s="20" t="n">
        <f aca="false">SUMPRODUCT(固有振動数!$Q$6:$Q$22*(1-($A695/固有振動数!$O$6:$O$22)^2)/((1-($A695/固有振動数!$O$6:$O$22)^2)^2+固有振動数!$P$6:$P$22^2))</f>
        <v>1.46065469198888</v>
      </c>
      <c r="C695" s="20" t="n">
        <f aca="false">-SUMPRODUCT(固有振動数!$Q$6:$Q$22*固有振動数!$P$6:$P$22/((1-($A695/固有振動数!$O$6:$O$22)^2)^2+固有振動数!$P$6:$P$22^2))</f>
        <v>-0.00928448822491545</v>
      </c>
      <c r="D695" s="20" t="n">
        <f aca="false">SQRT(B695^2+C695^2)</f>
        <v>1.46068419959645</v>
      </c>
      <c r="E695" s="32" t="n">
        <f aca="false">20*LOG10(MAX(D695,0.000000000001)/$K$3)</f>
        <v>3.29112662946547</v>
      </c>
    </row>
    <row r="696" customFormat="false" ht="15" hidden="false" customHeight="false" outlineLevel="0" collapsed="false">
      <c r="A696" s="13" t="n">
        <f aca="false">A695+$F$3</f>
        <v>27600</v>
      </c>
      <c r="B696" s="20" t="n">
        <f aca="false">SUMPRODUCT(固有振動数!$Q$6:$Q$22*(1-($A696/固有振動数!$O$6:$O$22)^2)/((1-($A696/固有振動数!$O$6:$O$22)^2)^2+固有振動数!$P$6:$P$22^2))</f>
        <v>1.59062571664451</v>
      </c>
      <c r="C696" s="20" t="n">
        <f aca="false">-SUMPRODUCT(固有振動数!$Q$6:$Q$22*固有振動数!$P$6:$P$22/((1-($A696/固有振動数!$O$6:$O$22)^2)^2+固有振動数!$P$6:$P$22^2))</f>
        <v>-0.0092494474180983</v>
      </c>
      <c r="D696" s="20" t="n">
        <f aca="false">SQRT(B696^2+C696^2)</f>
        <v>1.59065260906598</v>
      </c>
      <c r="E696" s="32" t="n">
        <f aca="false">20*LOG10(MAX(D696,0.000000000001)/$K$3)</f>
        <v>4.03150684322515</v>
      </c>
    </row>
    <row r="697" customFormat="false" ht="15" hidden="false" customHeight="false" outlineLevel="0" collapsed="false">
      <c r="A697" s="13" t="n">
        <f aca="false">A696+$F$3</f>
        <v>27640</v>
      </c>
      <c r="B697" s="20" t="n">
        <f aca="false">SUMPRODUCT(固有振動数!$Q$6:$Q$22*(1-($A697/固有振動数!$O$6:$O$22)^2)/((1-($A697/固有振動数!$O$6:$O$22)^2)^2+固有振動数!$P$6:$P$22^2))</f>
        <v>1.71955396500016</v>
      </c>
      <c r="C697" s="20" t="n">
        <f aca="false">-SUMPRODUCT(固有振動数!$Q$6:$Q$22*固有振動数!$P$6:$P$22/((1-($A697/固有振動数!$O$6:$O$22)^2)^2+固有振動数!$P$6:$P$22^2))</f>
        <v>-0.00921823983623877</v>
      </c>
      <c r="D697" s="20" t="n">
        <f aca="false">SQRT(B697^2+C697^2)</f>
        <v>1.71957867353996</v>
      </c>
      <c r="E697" s="32" t="n">
        <f aca="false">20*LOG10(MAX(D697,0.000000000001)/$K$3)</f>
        <v>4.7084410059249</v>
      </c>
    </row>
    <row r="698" customFormat="false" ht="15" hidden="false" customHeight="false" outlineLevel="0" collapsed="false">
      <c r="A698" s="13" t="n">
        <f aca="false">A697+$F$3</f>
        <v>27680</v>
      </c>
      <c r="B698" s="20" t="n">
        <f aca="false">SUMPRODUCT(固有振動数!$Q$6:$Q$22*(1-($A698/固有振動数!$O$6:$O$22)^2)/((1-($A698/固有振動数!$O$6:$O$22)^2)^2+固有振動数!$P$6:$P$22^2))</f>
        <v>1.84750022991756</v>
      </c>
      <c r="C698" s="20" t="n">
        <f aca="false">-SUMPRODUCT(固有振動数!$Q$6:$Q$22*固有振動数!$P$6:$P$22/((1-($A698/固有振動数!$O$6:$O$22)^2)^2+固有振動数!$P$6:$P$22^2))</f>
        <v>-0.00919078586690853</v>
      </c>
      <c r="D698" s="20" t="n">
        <f aca="false">SQRT(B698^2+C698^2)</f>
        <v>1.8475230905432</v>
      </c>
      <c r="E698" s="32" t="n">
        <f aca="false">20*LOG10(MAX(D698,0.000000000001)/$K$3)</f>
        <v>5.3317974992028</v>
      </c>
    </row>
    <row r="699" customFormat="false" ht="15" hidden="false" customHeight="false" outlineLevel="0" collapsed="false">
      <c r="A699" s="13" t="n">
        <f aca="false">A698+$F$3</f>
        <v>27720</v>
      </c>
      <c r="B699" s="20" t="n">
        <f aca="false">SUMPRODUCT(固有振動数!$Q$6:$Q$22*(1-($A699/固有振動数!$O$6:$O$22)^2)/((1-($A699/固有振動数!$O$6:$O$22)^2)^2+固有振動数!$P$6:$P$22^2))</f>
        <v>1.97452376917977</v>
      </c>
      <c r="C699" s="20" t="n">
        <f aca="false">-SUMPRODUCT(固有振動数!$Q$6:$Q$22*固有振動数!$P$6:$P$22/((1-($A699/固有振動数!$O$6:$O$22)^2)^2+固有振動数!$P$6:$P$22^2))</f>
        <v>-0.00916701294617572</v>
      </c>
      <c r="D699" s="20" t="n">
        <f aca="false">SQRT(B699^2+C699^2)</f>
        <v>1.97454504865861</v>
      </c>
      <c r="E699" s="32" t="n">
        <f aca="false">20*LOG10(MAX(D699,0.000000000001)/$K$3)</f>
        <v>5.90934092970318</v>
      </c>
    </row>
    <row r="700" customFormat="false" ht="15" hidden="false" customHeight="false" outlineLevel="0" collapsed="false">
      <c r="A700" s="13" t="n">
        <f aca="false">A699+$F$3</f>
        <v>27760</v>
      </c>
      <c r="B700" s="20" t="n">
        <f aca="false">SUMPRODUCT(固有振動数!$Q$6:$Q$22*(1-($A700/固有振動数!$O$6:$O$22)^2)/((1-($A700/固有振動数!$O$6:$O$22)^2)^2+固有振動数!$P$6:$P$22^2))</f>
        <v>2.10068241810059</v>
      </c>
      <c r="C700" s="20" t="n">
        <f aca="false">-SUMPRODUCT(固有振動数!$Q$6:$Q$22*固有振動数!$P$6:$P$22/((1-($A700/固有振動数!$O$6:$O$22)^2)^2+固有振動数!$P$6:$P$22^2))</f>
        <v>-0.00914685526610214</v>
      </c>
      <c r="D700" s="20" t="n">
        <f aca="false">SQRT(B700^2+C700^2)</f>
        <v>2.10070233176388</v>
      </c>
      <c r="E700" s="32" t="n">
        <f aca="false">20*LOG10(MAX(D700,0.000000000001)/$K$3)</f>
        <v>6.44729035006008</v>
      </c>
    </row>
    <row r="701" customFormat="false" ht="15" hidden="false" customHeight="false" outlineLevel="0" collapsed="false">
      <c r="A701" s="13" t="n">
        <f aca="false">A700+$F$3</f>
        <v>27800</v>
      </c>
      <c r="B701" s="20" t="n">
        <f aca="false">SUMPRODUCT(固有振動数!$Q$6:$Q$22*(1-($A701/固有振動数!$O$6:$O$22)^2)/((1-($A701/固有振動数!$O$6:$O$22)^2)^2+固有振動数!$P$6:$P$22^2))</f>
        <v>2.2260326970048</v>
      </c>
      <c r="C701" s="20" t="n">
        <f aca="false">-SUMPRODUCT(固有振動数!$Q$6:$Q$22*固有振動数!$P$6:$P$22/((1-($A701/固有振動数!$O$6:$O$22)^2)^2+固有振動数!$P$6:$P$22^2))</f>
        <v>-0.00913025351110133</v>
      </c>
      <c r="D701" s="20" t="n">
        <f aca="false">SQRT(B701^2+C701^2)</f>
        <v>2.22605142116341</v>
      </c>
      <c r="E701" s="32" t="n">
        <f aca="false">20*LOG10(MAX(D701,0.000000000001)/$K$3)</f>
        <v>6.9507038439054</v>
      </c>
    </row>
    <row r="702" customFormat="false" ht="15" hidden="false" customHeight="false" outlineLevel="0" collapsed="false">
      <c r="A702" s="13" t="n">
        <f aca="false">A701+$F$3</f>
        <v>27840</v>
      </c>
      <c r="B702" s="20" t="n">
        <f aca="false">SUMPRODUCT(固有振動数!$Q$6:$Q$22*(1-($A702/固有振動数!$O$6:$O$22)^2)/((1-($A702/固有振動数!$O$6:$O$22)^2)^2+固有振動数!$P$6:$P$22^2))</f>
        <v>2.35062991403917</v>
      </c>
      <c r="C702" s="20" t="n">
        <f aca="false">-SUMPRODUCT(固有振動数!$Q$6:$Q$22*固有振動数!$P$6:$P$22/((1-($A702/固有振動数!$O$6:$O$22)^2)^2+固有振動数!$P$6:$P$22^2))</f>
        <v>-0.00911715462133645</v>
      </c>
      <c r="D702" s="20" t="n">
        <f aca="false">SQRT(B702^2+C702^2)</f>
        <v>2.35064759487342</v>
      </c>
      <c r="E702" s="32" t="n">
        <f aca="false">20*LOG10(MAX(D702,0.000000000001)/$K$3)</f>
        <v>7.42375050616008</v>
      </c>
    </row>
    <row r="703" customFormat="false" ht="15" hidden="false" customHeight="false" outlineLevel="0" collapsed="false">
      <c r="A703" s="13" t="n">
        <f aca="false">A702+$F$3</f>
        <v>27880</v>
      </c>
      <c r="B703" s="20" t="n">
        <f aca="false">SUMPRODUCT(固有振動数!$Q$6:$Q$22*(1-($A703/固有振動数!$O$6:$O$22)^2)/((1-($A703/固有振動数!$O$6:$O$22)^2)^2+固有振動数!$P$6:$P$22^2))</f>
        <v>2.47452826374373</v>
      </c>
      <c r="C703" s="20" t="n">
        <f aca="false">-SUMPRODUCT(固有振動数!$Q$6:$Q$22*固有振動数!$P$6:$P$22/((1-($A703/固有振動数!$O$6:$O$22)^2)^2+固有振動数!$P$6:$P$22^2))</f>
        <v>-0.00910751158154257</v>
      </c>
      <c r="D703" s="20" t="n">
        <f aca="false">SQRT(B703^2+C703^2)</f>
        <v>2.47454502380413</v>
      </c>
      <c r="E703" s="32" t="n">
        <f aca="false">20*LOG10(MAX(D703,0.000000000001)/$K$3)</f>
        <v>7.8699072022387</v>
      </c>
    </row>
    <row r="704" customFormat="false" ht="15" hidden="false" customHeight="false" outlineLevel="0" collapsed="false">
      <c r="A704" s="13" t="n">
        <f aca="false">A703+$F$3</f>
        <v>27920</v>
      </c>
      <c r="B704" s="20" t="n">
        <f aca="false">SUMPRODUCT(固有振動数!$Q$6:$Q$22*(1-($A704/固有振動数!$O$6:$O$22)^2)/((1-($A704/固有振動数!$O$6:$O$22)^2)^2+固有振動数!$P$6:$P$22^2))</f>
        <v>2.59778092178525</v>
      </c>
      <c r="C704" s="20" t="n">
        <f aca="false">-SUMPRODUCT(固有振動数!$Q$6:$Q$22*固有振動数!$P$6:$P$22/((1-($A704/固有振動数!$O$6:$O$22)^2)^2+固有振動数!$P$6:$P$22^2))</f>
        <v>-0.00910128323384591</v>
      </c>
      <c r="D704" s="20" t="n">
        <f aca="false">SQRT(B704^2+C704^2)</f>
        <v>2.59779686483527</v>
      </c>
      <c r="E704" s="32" t="n">
        <f aca="false">20*LOG10(MAX(D704,0.000000000001)/$K$3)</f>
        <v>8.29210376668597</v>
      </c>
    </row>
    <row r="705" customFormat="false" ht="15" hidden="false" customHeight="false" outlineLevel="0" collapsed="false">
      <c r="A705" s="13" t="n">
        <f aca="false">A704+$F$3</f>
        <v>27960</v>
      </c>
      <c r="B705" s="20" t="n">
        <f aca="false">SUMPRODUCT(固有振動数!$Q$6:$Q$22*(1-($A705/固有振動数!$O$6:$O$22)^2)/((1-($A705/固有振動数!$O$6:$O$22)^2)^2+固有振動数!$P$6:$P$22^2))</f>
        <v>2.72044013623093</v>
      </c>
      <c r="C705" s="20" t="n">
        <f aca="false">-SUMPRODUCT(固有振動数!$Q$6:$Q$22*固有振動数!$P$6:$P$22/((1-($A705/固有振動数!$O$6:$O$22)^2)^2+固有振動数!$P$6:$P$22^2))</f>
        <v>-0.00909843411332545</v>
      </c>
      <c r="D705" s="20" t="n">
        <f aca="false">SQRT(B705^2+C705^2)</f>
        <v>2.72045535091452</v>
      </c>
      <c r="E705" s="32" t="n">
        <f aca="false">20*LOG10(MAX(D705,0.000000000001)/$K$3)</f>
        <v>8.69283205008332</v>
      </c>
    </row>
    <row r="706" customFormat="false" ht="15" hidden="false" customHeight="false" outlineLevel="0" collapsed="false">
      <c r="A706" s="13" t="n">
        <f aca="false">A705+$F$3</f>
        <v>28000</v>
      </c>
      <c r="B706" s="20" t="n">
        <f aca="false">SUMPRODUCT(固有振動数!$Q$6:$Q$22*(1-($A706/固有振動数!$O$6:$O$22)^2)/((1-($A706/固有振動数!$O$6:$O$22)^2)^2+固有振動数!$P$6:$P$22^2))</f>
        <v>2.8425573157182</v>
      </c>
      <c r="C706" s="20" t="n">
        <f aca="false">-SUMPRODUCT(固有振動数!$Q$6:$Q$22*固有振動数!$P$6:$P$22/((1-($A706/固有振動数!$O$6:$O$22)^2)^2+固有振動数!$P$6:$P$22^2))</f>
        <v>-0.00909893430522223</v>
      </c>
      <c r="D706" s="20" t="n">
        <f aca="false">SQRT(B706^2+C706^2)</f>
        <v>2.84257187837855</v>
      </c>
      <c r="E706" s="32" t="n">
        <f aca="false">20*LOG10(MAX(D706,0.000000000001)/$K$3)</f>
        <v>9.07422910475741</v>
      </c>
    </row>
    <row r="707" customFormat="false" ht="15" hidden="false" customHeight="false" outlineLevel="0" collapsed="false">
      <c r="A707" s="13" t="n">
        <f aca="false">A706+$F$3</f>
        <v>28040</v>
      </c>
      <c r="B707" s="20" t="n">
        <f aca="false">SUMPRODUCT(固有振動数!$Q$6:$Q$22*(1-($A707/固有振動数!$O$6:$O$22)^2)/((1-($A707/固有振動数!$O$6:$O$22)^2)^2+固有振動数!$P$6:$P$22^2))</f>
        <v>2.96418311485799</v>
      </c>
      <c r="C707" s="20" t="n">
        <f aca="false">-SUMPRODUCT(固有振動数!$Q$6:$Q$22*固有振動数!$P$6:$P$22/((1-($A707/固有振動数!$O$6:$O$22)^2)^2+固有振動数!$P$6:$P$22^2))</f>
        <v>-0.00910275932285028</v>
      </c>
      <c r="D707" s="20" t="n">
        <f aca="false">SQRT(B707^2+C707^2)</f>
        <v>2.96419709173269</v>
      </c>
      <c r="E707" s="32" t="n">
        <f aca="false">20*LOG10(MAX(D707,0.000000000001)/$K$3)</f>
        <v>9.43814153679497</v>
      </c>
    </row>
    <row r="708" customFormat="false" ht="15" hidden="false" customHeight="false" outlineLevel="0" collapsed="false">
      <c r="A708" s="13" t="n">
        <f aca="false">A707+$F$3</f>
        <v>28080</v>
      </c>
      <c r="B708" s="20" t="n">
        <f aca="false">SUMPRODUCT(固有振動数!$Q$6:$Q$22*(1-($A708/固有振動数!$O$6:$O$22)^2)/((1-($A708/固有振動数!$O$6:$O$22)^2)^2+固有振動数!$P$6:$P$22^2))</f>
        <v>3.08536751719151</v>
      </c>
      <c r="C708" s="20" t="n">
        <f aca="false">-SUMPRODUCT(固有振動数!$Q$6:$Q$22*固有振動数!$P$6:$P$22/((1-($A708/固有振動数!$O$6:$O$22)^2)^2+固有振動数!$P$6:$P$22^2))</f>
        <v>-0.00910989000540201</v>
      </c>
      <c r="D708" s="20" t="n">
        <f aca="false">SQRT(B708^2+C708^2)</f>
        <v>3.08538096614282</v>
      </c>
      <c r="E708" s="32" t="n">
        <f aca="false">20*LOG10(MAX(D708,0.000000000001)/$K$3)</f>
        <v>9.7861759202453</v>
      </c>
    </row>
    <row r="709" customFormat="false" ht="15" hidden="false" customHeight="false" outlineLevel="0" collapsed="false">
      <c r="A709" s="13" t="n">
        <f aca="false">A708+$F$3</f>
        <v>28120</v>
      </c>
      <c r="B709" s="20" t="n">
        <f aca="false">SUMPRODUCT(固有振動数!$Q$6:$Q$22*(1-($A709/固有振動数!$O$6:$O$22)^2)/((1-($A709/固有振動数!$O$6:$O$22)^2)^2+固有振動数!$P$6:$P$22^2))</f>
        <v>3.20615991600626</v>
      </c>
      <c r="C709" s="20" t="n">
        <f aca="false">-SUMPRODUCT(固有振動数!$Q$6:$Q$22*固有振動数!$P$6:$P$22/((1-($A709/固有振動数!$O$6:$O$22)^2)^2+固有振動数!$P$6:$P$22^2))</f>
        <v>-0.0091203124349716</v>
      </c>
      <c r="D709" s="20" t="n">
        <f aca="false">SQRT(B709^2+C709^2)</f>
        <v>3.20617288789987</v>
      </c>
      <c r="E709" s="32" t="n">
        <f aca="false">20*LOG10(MAX(D709,0.000000000001)/$K$3)</f>
        <v>10.1197387461171</v>
      </c>
    </row>
    <row r="710" customFormat="false" ht="15" hidden="false" customHeight="false" outlineLevel="0" collapsed="false">
      <c r="A710" s="13" t="n">
        <f aca="false">A709+$F$3</f>
        <v>28160</v>
      </c>
      <c r="B710" s="20" t="n">
        <f aca="false">SUMPRODUCT(固有振動数!$Q$6:$Q$22*(1-($A710/固有振動数!$O$6:$O$22)^2)/((1-($A710/固有振動数!$O$6:$O$22)^2)^2+固有振動数!$P$6:$P$22^2))</f>
        <v>3.32660919330446</v>
      </c>
      <c r="C710" s="20" t="n">
        <f aca="false">-SUMPRODUCT(固有振動数!$Q$6:$Q$22*固有振動数!$P$6:$P$22/((1-($A710/固有振動数!$O$6:$O$22)^2)^2+固有振動数!$P$6:$P$22^2))</f>
        <v>-0.00913401787224392</v>
      </c>
      <c r="D710" s="20" t="n">
        <f aca="false">SQRT(B710^2+C710^2)</f>
        <v>3.32662173311909</v>
      </c>
      <c r="E710" s="32" t="n">
        <f aca="false">20*LOG10(MAX(D710,0.000000000001)/$K$3)</f>
        <v>10.4400684095693</v>
      </c>
    </row>
    <row r="711" customFormat="false" ht="15" hidden="false" customHeight="false" outlineLevel="0" collapsed="false">
      <c r="A711" s="13" t="n">
        <f aca="false">A710+$F$3</f>
        <v>28200</v>
      </c>
      <c r="B711" s="20" t="n">
        <f aca="false">SUMPRODUCT(固有振動数!$Q$6:$Q$22*(1-($A711/固有振動数!$O$6:$O$22)^2)/((1-($A711/固有振動数!$O$6:$O$22)^2)^2+固有振動数!$P$6:$P$22^2))</f>
        <v>3.44676379720592</v>
      </c>
      <c r="C711" s="20" t="n">
        <f aca="false">-SUMPRODUCT(固有振動数!$Q$6:$Q$22*固有振動数!$P$6:$P$22/((1-($A711/固有振動数!$O$6:$O$22)^2)^2+固有振動数!$P$6:$P$22^2))</f>
        <v>-0.00915100271041465</v>
      </c>
      <c r="D711" s="20" t="n">
        <f aca="false">SQRT(B711^2+C711^2)</f>
        <v>3.44677594493462</v>
      </c>
      <c r="E711" s="32" t="n">
        <f aca="false">20*LOG10(MAX(D711,0.000000000001)/$K$3)</f>
        <v>10.748261066818</v>
      </c>
    </row>
    <row r="712" customFormat="false" ht="15" hidden="false" customHeight="false" outlineLevel="0" collapsed="false">
      <c r="A712" s="13" t="n">
        <f aca="false">A711+$F$3</f>
        <v>28240</v>
      </c>
      <c r="B712" s="20" t="n">
        <f aca="false">SUMPRODUCT(固有振動数!$Q$6:$Q$22*(1-($A712/固有振動数!$O$6:$O$22)^2)/((1-($A712/固有振動数!$O$6:$O$22)^2)^2+固有振動数!$P$6:$P$22^2))</f>
        <v>3.56667181805893</v>
      </c>
      <c r="C712" s="20" t="n">
        <f aca="false">-SUMPRODUCT(固有振動数!$Q$6:$Q$22*固有振動数!$P$6:$P$22/((1-($A712/固有振動数!$O$6:$O$22)^2)^2+固有振動数!$P$6:$P$22^2))</f>
        <v>-0.00917126844702148</v>
      </c>
      <c r="D712" s="20" t="n">
        <f aca="false">SQRT(B712^2+C712^2)</f>
        <v>3.5666836094474</v>
      </c>
      <c r="E712" s="32" t="n">
        <f aca="false">20*LOG10(MAX(D712,0.000000000001)/$K$3)</f>
        <v>11.0452917199018</v>
      </c>
    </row>
    <row r="713" customFormat="false" ht="15" hidden="false" customHeight="false" outlineLevel="0" collapsed="false">
      <c r="A713" s="13" t="n">
        <f aca="false">A712+$F$3</f>
        <v>28280</v>
      </c>
      <c r="B713" s="20" t="n">
        <f aca="false">SUMPRODUCT(固有振動数!$Q$6:$Q$22*(1-($A713/固有振動数!$O$6:$O$22)^2)/((1-($A713/固有振動数!$O$6:$O$22)^2)^2+固有振動数!$P$6:$P$22^2))</f>
        <v>3.68638106352535</v>
      </c>
      <c r="C713" s="20" t="n">
        <f aca="false">-SUMPRODUCT(固有振動数!$Q$6:$Q$22*固有振動数!$P$6:$P$22/((1-($A713/固有振動数!$O$6:$O$22)^2)^2+固有振動数!$P$6:$P$22^2))</f>
        <v>-0.00919482167347648</v>
      </c>
      <c r="D713" s="20" t="n">
        <f aca="false">SQRT(B713^2+C713^2)</f>
        <v>3.68639253068144</v>
      </c>
      <c r="E713" s="32" t="n">
        <f aca="false">20*LOG10(MAX(D713,0.000000000001)/$K$3)</f>
        <v>11.332031548928</v>
      </c>
    </row>
    <row r="714" customFormat="false" ht="15" hidden="false" customHeight="false" outlineLevel="0" collapsed="false">
      <c r="A714" s="13" t="n">
        <f aca="false">A713+$F$3</f>
        <v>28320</v>
      </c>
      <c r="B714" s="20" t="n">
        <f aca="false">SUMPRODUCT(固有振動数!$Q$6:$Q$22*(1-($A714/固有振動数!$O$6:$O$22)^2)/((1-($A714/固有振動数!$O$6:$O$22)^2)^2+固有振動数!$P$6:$P$22^2))</f>
        <v>3.80593913290025</v>
      </c>
      <c r="C714" s="20" t="n">
        <f aca="false">-SUMPRODUCT(固有振動数!$Q$6:$Q$22*固有振動数!$P$6:$P$22/((1-($A714/固有振動数!$O$6:$O$22)^2)^2+固有振動数!$P$6:$P$22^2))</f>
        <v>-0.0092216740821986</v>
      </c>
      <c r="D714" s="20" t="n">
        <f aca="false">SQRT(B714^2+C714^2)</f>
        <v>3.80595030480094</v>
      </c>
      <c r="E714" s="32" t="n">
        <f aca="false">20*LOG10(MAX(D714,0.000000000001)/$K$3)</f>
        <v>11.609262266032</v>
      </c>
    </row>
    <row r="715" customFormat="false" ht="15" hidden="false" customHeight="false" outlineLevel="0" collapsed="false">
      <c r="A715" s="13" t="n">
        <f aca="false">A714+$F$3</f>
        <v>28360</v>
      </c>
      <c r="B715" s="20" t="n">
        <f aca="false">SUMPRODUCT(固有振動数!$Q$6:$Q$22*(1-($A715/固有振動数!$O$6:$O$22)^2)/((1-($A715/固有振動数!$O$6:$O$22)^2)^2+固有振動数!$P$6:$P$22^2))</f>
        <v>3.92539349092298</v>
      </c>
      <c r="C715" s="20" t="n">
        <f aca="false">-SUMPRODUCT(固有振動数!$Q$6:$Q$22*固有振動数!$P$6:$P$22/((1-($A715/固有振動数!$O$6:$O$22)^2)^2+固有振動数!$P$6:$P$22^2))</f>
        <v>-0.00925184249135215</v>
      </c>
      <c r="D715" s="20" t="n">
        <f aca="false">SQRT(B715^2+C715^2)</f>
        <v>3.92540439383893</v>
      </c>
      <c r="E715" s="32" t="n">
        <f aca="false">20*LOG10(MAX(D715,0.000000000001)/$K$3)</f>
        <v>11.8776880851464</v>
      </c>
    </row>
    <row r="716" customFormat="false" ht="15" hidden="false" customHeight="false" outlineLevel="0" collapsed="false">
      <c r="A716" s="13" t="n">
        <f aca="false">A715+$F$3</f>
        <v>28400</v>
      </c>
      <c r="B716" s="20" t="n">
        <f aca="false">SUMPRODUCT(固有振動数!$Q$6:$Q$22*(1-($A716/固有振動数!$O$6:$O$22)^2)/((1-($A716/固有振動数!$O$6:$O$22)^2)^2+固有振動数!$P$6:$P$22^2))</f>
        <v>4.04479154133367</v>
      </c>
      <c r="C716" s="20" t="n">
        <f aca="false">-SUMPRODUCT(固有振動数!$Q$6:$Q$22*固有振動数!$P$6:$P$22/((1-($A716/固有振動数!$O$6:$O$22)^2)^2+固有振動数!$P$6:$P$22^2))</f>
        <v>-0.00928534888730426</v>
      </c>
      <c r="D716" s="20" t="n">
        <f aca="false">SQRT(B716^2+C716^2)</f>
        <v>4.04480219918704</v>
      </c>
      <c r="E716" s="32" t="n">
        <f aca="false">20*LOG10(MAX(D716,0.000000000001)/$K$3)</f>
        <v>12.1379457679052</v>
      </c>
    </row>
    <row r="717" customFormat="false" ht="15" hidden="false" customHeight="false" outlineLevel="0" collapsed="false">
      <c r="A717" s="13" t="n">
        <f aca="false">A716+$F$3</f>
        <v>28440</v>
      </c>
      <c r="B717" s="20" t="n">
        <f aca="false">SUMPRODUCT(固有振動数!$Q$6:$Q$22*(1-($A717/固有振動数!$O$6:$O$22)^2)/((1-($A717/固有振動数!$O$6:$O$22)^2)^2+固有振動数!$P$6:$P$22^2))</f>
        <v>4.16418070042857</v>
      </c>
      <c r="C717" s="20" t="n">
        <f aca="false">-SUMPRODUCT(固有振動数!$Q$6:$Q$22*固有振動数!$P$6:$P$22/((1-($A717/固有振動数!$O$6:$O$22)^2)^2+固有振動数!$P$6:$P$22^2))</f>
        <v>-0.00932222048502238</v>
      </c>
      <c r="D717" s="20" t="n">
        <f aca="false">SQRT(B717^2+C717^2)</f>
        <v>4.16419113509654</v>
      </c>
      <c r="E717" s="32" t="n">
        <f aca="false">20*LOG10(MAX(D717,0.000000000001)/$K$3)</f>
        <v>12.3906131055915</v>
      </c>
    </row>
    <row r="718" customFormat="false" ht="15" hidden="false" customHeight="false" outlineLevel="0" collapsed="false">
      <c r="A718" s="13" t="n">
        <f aca="false">A717+$F$3</f>
        <v>28480</v>
      </c>
      <c r="B718" s="20" t="n">
        <f aca="false">SUMPRODUCT(固有振動数!$Q$6:$Q$22*(1-($A718/固有振動数!$O$6:$O$22)^2)/((1-($A718/固有振動数!$O$6:$O$22)^2)^2+固有振動数!$P$6:$P$22^2))</f>
        <v>4.28360847086823</v>
      </c>
      <c r="C718" s="20" t="n">
        <f aca="false">-SUMPRODUCT(固有振動数!$Q$6:$Q$22*固有振動数!$P$6:$P$22/((1-($A718/固有振動数!$O$6:$O$22)^2)^2+固有振動数!$P$6:$P$22^2))</f>
        <v>-0.0093624898067422</v>
      </c>
      <c r="D718" s="20" t="n">
        <f aca="false">SQRT(B718^2+C718^2)</f>
        <v>4.28361870244183</v>
      </c>
      <c r="E718" s="32" t="n">
        <f aca="false">20*LOG10(MAX(D718,0.000000000001)/$K$3)</f>
        <v>12.6362161209026</v>
      </c>
    </row>
    <row r="719" customFormat="false" ht="15" hidden="false" customHeight="false" outlineLevel="0" collapsed="false">
      <c r="A719" s="13" t="n">
        <f aca="false">A718+$F$3</f>
        <v>28520</v>
      </c>
      <c r="B719" s="20" t="n">
        <f aca="false">SUMPRODUCT(固有振動数!$Q$6:$Q$22*(1-($A719/固有振動数!$O$6:$O$22)^2)/((1-($A719/固有振動数!$O$6:$O$22)^2)^2+固有振動数!$P$6:$P$22^2))</f>
        <v>4.40312251599458</v>
      </c>
      <c r="C719" s="20" t="n">
        <f aca="false">-SUMPRODUCT(固有振動数!$Q$6:$Q$22*固有振動数!$P$6:$P$22/((1-($A719/固有振動数!$O$6:$O$22)^2)^2+固有振動数!$P$6:$P$22^2))</f>
        <v>-0.00940619477934965</v>
      </c>
      <c r="D719" s="20" t="n">
        <f aca="false">SQRT(B719^2+C719^2)</f>
        <v>4.40313256300088</v>
      </c>
      <c r="E719" s="32" t="n">
        <f aca="false">20*LOG10(MAX(D719,0.000000000001)/$K$3)</f>
        <v>12.8752352150417</v>
      </c>
    </row>
    <row r="720" customFormat="false" ht="15" hidden="false" customHeight="false" outlineLevel="0" collapsed="false">
      <c r="A720" s="13" t="n">
        <f aca="false">A719+$F$3</f>
        <v>28560</v>
      </c>
      <c r="B720" s="20" t="n">
        <f aca="false">SUMPRODUCT(固有振動数!$Q$6:$Q$22*(1-($A720/固有振動数!$O$6:$O$22)^2)/((1-($A720/固有振動数!$O$6:$O$22)^2)^2+固有振動数!$P$6:$P$22^2))</f>
        <v>4.52277073491721</v>
      </c>
      <c r="C720" s="20" t="n">
        <f aca="false">-SUMPRODUCT(固有振動数!$Q$6:$Q$22*固有振動数!$P$6:$P$22/((1-($A720/固有振動数!$O$6:$O$22)^2)^2+固有振動数!$P$6:$P$22^2))</f>
        <v>-0.00945337885103652</v>
      </c>
      <c r="D720" s="20" t="n">
        <f aca="false">SQRT(B720^2+C720^2)</f>
        <v>4.52278061451086</v>
      </c>
      <c r="E720" s="32" t="n">
        <f aca="false">20*LOG10(MAX(D720,0.000000000001)/$K$3)</f>
        <v>13.1081104406663</v>
      </c>
    </row>
    <row r="721" customFormat="false" ht="15" hidden="false" customHeight="false" outlineLevel="0" collapsed="false">
      <c r="A721" s="13" t="n">
        <f aca="false">A720+$F$3</f>
        <v>28600</v>
      </c>
      <c r="B721" s="20" t="n">
        <f aca="false">SUMPRODUCT(固有振動数!$Q$6:$Q$22*(1-($A721/固有振動数!$O$6:$O$22)^2)/((1-($A721/固有振動数!$O$6:$O$22)^2)^2+固有振動数!$P$6:$P$22^2))</f>
        <v>4.64260133863385</v>
      </c>
      <c r="C721" s="20" t="n">
        <f aca="false">-SUMPRODUCT(固有振動数!$Q$6:$Q$22*固有振動数!$P$6:$P$22/((1-($A721/固有振動数!$O$6:$O$22)^2)^2+固有振動数!$P$6:$P$22^2))</f>
        <v>-0.0095040911279117</v>
      </c>
      <c r="D721" s="20" t="n">
        <f aca="false">SQRT(B721^2+C721^2)</f>
        <v>4.64261106676329</v>
      </c>
      <c r="E721" s="32" t="n">
        <f aca="false">20*LOG10(MAX(D721,0.000000000001)/$K$3)</f>
        <v>13.3352460462135</v>
      </c>
    </row>
    <row r="722" customFormat="false" ht="15" hidden="false" customHeight="false" outlineLevel="0" collapsed="false">
      <c r="A722" s="13" t="n">
        <f aca="false">A721+$F$3</f>
        <v>28640</v>
      </c>
      <c r="B722" s="20" t="n">
        <f aca="false">SUMPRODUCT(固有振動数!$Q$6:$Q$22*(1-($A722/固有振動数!$O$6:$O$22)^2)/((1-($A722/固有振動数!$O$6:$O$22)^2)^2+固有振動数!$P$6:$P$22^2))</f>
        <v>4.76266292745785</v>
      </c>
      <c r="C722" s="20" t="n">
        <f aca="false">-SUMPRODUCT(固有振動数!$Q$6:$Q$22*固有振動数!$P$6:$P$22/((1-($A722/固有振動数!$O$6:$O$22)^2)^2+固有振動数!$P$6:$P$22^2))</f>
        <v>-0.00955838653137742</v>
      </c>
      <c r="D722" s="20" t="n">
        <f aca="false">SQRT(B722^2+C722^2)</f>
        <v>4.76267251901015</v>
      </c>
      <c r="E722" s="32" t="n">
        <f aca="false">20*LOG10(MAX(D722,0.000000000001)/$K$3)</f>
        <v>13.5570144096719</v>
      </c>
    </row>
    <row r="723" customFormat="false" ht="15" hidden="false" customHeight="false" outlineLevel="0" collapsed="false">
      <c r="A723" s="13" t="n">
        <f aca="false">A722+$F$3</f>
        <v>28680</v>
      </c>
      <c r="B723" s="20" t="n">
        <f aca="false">SUMPRODUCT(固有振動数!$Q$6:$Q$22*(1-($A723/固有振動数!$O$6:$O$22)^2)/((1-($A723/固有振動数!$O$6:$O$22)^2)^2+固有振動数!$P$6:$P$22^2))</f>
        <v>4.88300457003369</v>
      </c>
      <c r="C723" s="20" t="n">
        <f aca="false">-SUMPRODUCT(固有振動数!$Q$6:$Q$22*固有振動数!$P$6:$P$22/((1-($A723/固有振動数!$O$6:$O$22)^2)^2+固有振動数!$P$6:$P$22^2))</f>
        <v>-0.00961632597721604</v>
      </c>
      <c r="D723" s="20" t="n">
        <f aca="false">SQRT(B723^2+C723^2)</f>
        <v>4.88301403896151</v>
      </c>
      <c r="E723" s="32" t="n">
        <f aca="false">20*LOG10(MAX(D723,0.000000000001)/$K$3)</f>
        <v>13.7737594581779</v>
      </c>
    </row>
    <row r="724" customFormat="false" ht="15" hidden="false" customHeight="false" outlineLevel="0" collapsed="false">
      <c r="A724" s="13" t="n">
        <f aca="false">A723+$F$3</f>
        <v>28720</v>
      </c>
      <c r="B724" s="20" t="n">
        <f aca="false">SUMPRODUCT(固有振動数!$Q$6:$Q$22*(1-($A724/固有振動数!$O$6:$O$22)^2)/((1-($A724/固有振動数!$O$6:$O$22)^2)^2+固有振動数!$P$6:$P$22^2))</f>
        <v>5.00367588423255</v>
      </c>
      <c r="C724" s="20" t="n">
        <f aca="false">-SUMPRODUCT(固有振動数!$Q$6:$Q$22*固有振動数!$P$6:$P$22/((1-($A724/固有振動数!$O$6:$O$22)^2)^2+固有振動数!$P$6:$P$22^2))</f>
        <v>-0.00967797657747711</v>
      </c>
      <c r="D724" s="20" t="n">
        <f aca="false">SQRT(B724^2+C724^2)</f>
        <v>5.00368524366602</v>
      </c>
      <c r="E724" s="32" t="n">
        <f aca="false">20*LOG10(MAX(D724,0.000000000001)/$K$3)</f>
        <v>13.9857996525685</v>
      </c>
    </row>
    <row r="725" customFormat="false" ht="15" hidden="false" customHeight="false" outlineLevel="0" collapsed="false">
      <c r="A725" s="13" t="n">
        <f aca="false">A724+$F$3</f>
        <v>28760</v>
      </c>
      <c r="B725" s="20" t="n">
        <f aca="false">SUMPRODUCT(固有振動数!$Q$6:$Q$22*(1-($A725/固有振動数!$O$6:$O$22)^2)/((1-($A725/固有振動数!$O$6:$O$22)^2)^2+固有振動数!$P$6:$P$22^2))</f>
        <v>5.12472712023234</v>
      </c>
      <c r="C725" s="20" t="n">
        <f aca="false">-SUMPRODUCT(固有振動数!$Q$6:$Q$22*固有振動数!$P$6:$P$22/((1-($A725/固有振動数!$O$6:$O$22)^2)^2+固有振動数!$P$6:$P$22^2))</f>
        <v>-0.00974341186640959</v>
      </c>
      <c r="D725" s="20" t="n">
        <f aca="false">SQRT(B725^2+C725^2)</f>
        <v>5.1247363825781</v>
      </c>
      <c r="E725" s="32" t="n">
        <f aca="false">20*LOG10(MAX(D725,0.000000000001)/$K$3)</f>
        <v>14.1934306022193</v>
      </c>
    </row>
    <row r="726" customFormat="false" ht="15" hidden="false" customHeight="false" outlineLevel="0" collapsed="false">
      <c r="A726" s="13" t="n">
        <f aca="false">A725+$F$3</f>
        <v>28800</v>
      </c>
      <c r="B726" s="20" t="n">
        <f aca="false">SUMPRODUCT(固有振動数!$Q$6:$Q$22*(1-($A726/固有振動数!$O$6:$O$22)^2)/((1-($A726/固有振動数!$O$6:$O$22)^2)^2+固有振動数!$P$6:$P$22^2))</f>
        <v>5.24620924610123</v>
      </c>
      <c r="C726" s="20" t="n">
        <f aca="false">-SUMPRODUCT(固有振動数!$Q$6:$Q$22*固有振動数!$P$6:$P$22/((1-($A726/固有振動数!$O$6:$O$22)^2)^2+固有振動数!$P$6:$P$22^2))</f>
        <v>-0.00981271205185163</v>
      </c>
      <c r="D726" s="20" t="n">
        <f aca="false">SQRT(B726^2+C726^2)</f>
        <v>5.24621842313069</v>
      </c>
      <c r="E726" s="32" t="n">
        <f aca="false">20*LOG10(MAX(D726,0.000000000001)/$K$3)</f>
        <v>14.3969273643762</v>
      </c>
    </row>
    <row r="727" customFormat="false" ht="15" hidden="false" customHeight="false" outlineLevel="0" collapsed="false">
      <c r="A727" s="13" t="n">
        <f aca="false">A726+$F$3</f>
        <v>28840</v>
      </c>
      <c r="B727" s="20" t="n">
        <f aca="false">SUMPRODUCT(固有振動数!$Q$6:$Q$22*(1-($A727/固有振動数!$O$6:$O$22)^2)/((1-($A727/固有振動数!$O$6:$O$22)^2)^2+固有振動数!$P$6:$P$22^2))</f>
        <v>5.36817403622059</v>
      </c>
      <c r="C727" s="20" t="n">
        <f aca="false">-SUMPRODUCT(固有振動数!$Q$6:$Q$22*固有振動数!$P$6:$P$22/((1-($A727/固有振動数!$O$6:$O$22)^2)^2+固有振動数!$P$6:$P$22^2))</f>
        <v>-0.00988596429367067</v>
      </c>
      <c r="D727" s="20" t="n">
        <f aca="false">SQRT(B727^2+C727^2)</f>
        <v>5.36818313914894</v>
      </c>
      <c r="E727" s="32" t="n">
        <f aca="false">20*LOG10(MAX(D727,0.000000000001)/$K$3)</f>
        <v>14.5965464731929</v>
      </c>
    </row>
    <row r="728" customFormat="false" ht="15" hidden="false" customHeight="false" outlineLevel="0" collapsed="false">
      <c r="A728" s="13" t="n">
        <f aca="false">A727+$F$3</f>
        <v>28880</v>
      </c>
      <c r="B728" s="20" t="n">
        <f aca="false">SUMPRODUCT(固有振動数!$Q$6:$Q$22*(1-($A728/固有振動数!$O$6:$O$22)^2)/((1-($A728/固有振動数!$O$6:$O$22)^2)^2+固有振動数!$P$6:$P$22^2))</f>
        <v>5.49067416290254</v>
      </c>
      <c r="C728" s="20" t="n">
        <f aca="false">-SUMPRODUCT(固有振動数!$Q$6:$Q$22*固有振動数!$P$6:$P$22/((1-($A728/固有振動数!$O$6:$O$22)^2)^2+固有振動数!$P$6:$P$22^2))</f>
        <v>-0.00996326301104473</v>
      </c>
      <c r="D728" s="20" t="n">
        <f aca="false">SQRT(B728^2+C728^2)</f>
        <v>5.4906832024599</v>
      </c>
      <c r="E728" s="32" t="n">
        <f aca="false">20*LOG10(MAX(D728,0.000000000001)/$K$3)</f>
        <v>14.7925277363527</v>
      </c>
    </row>
    <row r="729" customFormat="false" ht="15" hidden="false" customHeight="false" outlineLevel="0" collapsed="false">
      <c r="A729" s="13" t="n">
        <f aca="false">A728+$F$3</f>
        <v>28920</v>
      </c>
      <c r="B729" s="20" t="n">
        <f aca="false">SUMPRODUCT(固有振動数!$Q$6:$Q$22*(1-($A729/固有振動数!$O$6:$O$22)^2)/((1-($A729/固有振動数!$O$6:$O$22)^2)^2+固有振動数!$P$6:$P$22^2))</f>
        <v>5.61376329157883</v>
      </c>
      <c r="C729" s="20" t="n">
        <f aca="false">-SUMPRODUCT(固有振動数!$Q$6:$Q$22*固有振動数!$P$6:$P$22/((1-($A729/固有振動数!$O$6:$O$22)^2)^2+固有振動数!$P$6:$P$22^2))</f>
        <v>-0.01004471022059</v>
      </c>
      <c r="D729" s="20" t="n">
        <f aca="false">SQRT(B729^2+C729^2)</f>
        <v>5.61377227807483</v>
      </c>
      <c r="E729" s="32" t="n">
        <f aca="false">20*LOG10(MAX(D729,0.000000000001)/$K$3)</f>
        <v>14.9850958311576</v>
      </c>
    </row>
    <row r="730" customFormat="false" ht="15" hidden="false" customHeight="false" outlineLevel="0" collapsed="false">
      <c r="A730" s="13" t="n">
        <f aca="false">A729+$F$3</f>
        <v>28960</v>
      </c>
      <c r="B730" s="20" t="n">
        <f aca="false">SUMPRODUCT(固有振動数!$Q$6:$Q$22*(1-($A730/固有振動数!$O$6:$O$22)^2)/((1-($A730/固有振動数!$O$6:$O$22)^2)^2+固有振動数!$P$6:$P$22^2))</f>
        <v>5.73749617996286</v>
      </c>
      <c r="C730" s="20" t="n">
        <f aca="false">-SUMPRODUCT(固有振動数!$Q$6:$Q$22*固有振動数!$P$6:$P$22/((1-($A730/固有振動数!$O$6:$O$22)^2)^2+固有振動数!$P$6:$P$22^2))</f>
        <v>-0.0101304159075771</v>
      </c>
      <c r="D730" s="20" t="n">
        <f aca="false">SQRT(B730^2+C730^2)</f>
        <v>5.73750512334541</v>
      </c>
      <c r="E730" s="32" t="n">
        <f aca="false">20*LOG10(MAX(D730,0.000000000001)/$K$3)</f>
        <v>15.1744617270358</v>
      </c>
    </row>
    <row r="731" customFormat="false" ht="15" hidden="false" customHeight="false" outlineLevel="0" collapsed="false">
      <c r="A731" s="13" t="n">
        <f aca="false">A730+$F$3</f>
        <v>29000</v>
      </c>
      <c r="B731" s="20" t="n">
        <f aca="false">SUMPRODUCT(固有振動数!$Q$6:$Q$22*(1-($A731/固有振動数!$O$6:$O$22)^2)/((1-($A731/固有振動数!$O$6:$O$22)^2)^2+固有振動数!$P$6:$P$22^2))</f>
        <v>5.86192878161361</v>
      </c>
      <c r="C731" s="20" t="n">
        <f aca="false">-SUMPRODUCT(固有振動数!$Q$6:$Q$22*固有振動数!$P$6:$P$22/((1-($A731/固有振動数!$O$6:$O$22)^2)^2+固有振動数!$P$6:$P$22^2))</f>
        <v>-0.0102204984327365</v>
      </c>
      <c r="D731" s="20" t="n">
        <f aca="false">SQRT(B731^2+C731^2)</f>
        <v>5.86193769152302</v>
      </c>
      <c r="E731" s="32" t="n">
        <f aca="false">20*LOG10(MAX(D731,0.000000000001)/$K$3)</f>
        <v>15.3608239573416</v>
      </c>
    </row>
    <row r="732" customFormat="false" ht="15" hidden="false" customHeight="false" outlineLevel="0" collapsed="false">
      <c r="A732" s="13" t="n">
        <f aca="false">A731+$F$3</f>
        <v>29040</v>
      </c>
      <c r="B732" s="20" t="n">
        <f aca="false">SUMPRODUCT(固有振動数!$Q$6:$Q$22*(1-($A732/固有振動数!$O$6:$O$22)^2)/((1-($A732/固有振動数!$O$6:$O$22)^2)^2+固有振動数!$P$6:$P$22^2))</f>
        <v>5.98711835436213</v>
      </c>
      <c r="C732" s="20" t="n">
        <f aca="false">-SUMPRODUCT(固有振動数!$Q$6:$Q$22*固有振動数!$P$6:$P$22/((1-($A732/固有振動数!$O$6:$O$22)^2)^2+固有振動数!$P$6:$P$22^2))</f>
        <v>-0.0103150849774415</v>
      </c>
      <c r="D732" s="20" t="n">
        <f aca="false">SQRT(B732^2+C732^2)</f>
        <v>5.98712724018105</v>
      </c>
      <c r="E732" s="32" t="n">
        <f aca="false">20*LOG10(MAX(D732,0.000000000001)/$K$3)</f>
        <v>15.5443697599449</v>
      </c>
    </row>
    <row r="733" customFormat="false" ht="15" hidden="false" customHeight="false" outlineLevel="0" collapsed="false">
      <c r="A733" s="13" t="n">
        <f aca="false">A732+$F$3</f>
        <v>29080</v>
      </c>
      <c r="B733" s="20" t="n">
        <f aca="false">SUMPRODUCT(固有振動数!$Q$6:$Q$22*(1-($A733/固有振動数!$O$6:$O$22)^2)/((1-($A733/固有振動数!$O$6:$O$22)^2)^2+固有振動数!$P$6:$P$22^2))</f>
        <v>6.11312357409532</v>
      </c>
      <c r="C733" s="20" t="n">
        <f aca="false">-SUMPRODUCT(固有振動数!$Q$6:$Q$22*固有振動数!$P$6:$P$22/((1-($A733/固有振動数!$O$6:$O$22)^2)^2+固有振動数!$P$6:$P$22^2))</f>
        <v>-0.0104143120303737</v>
      </c>
      <c r="D733" s="20" t="n">
        <f aca="false">SQRT(B733^2+C733^2)</f>
        <v>6.11313244499537</v>
      </c>
      <c r="E733" s="32" t="n">
        <f aca="false">20*LOG10(MAX(D733,0.000000000001)/$K$3)</f>
        <v>15.7252761032896</v>
      </c>
    </row>
    <row r="734" customFormat="false" ht="15" hidden="false" customHeight="false" outlineLevel="0" collapsed="false">
      <c r="A734" s="13" t="n">
        <f aca="false">A733+$F$3</f>
        <v>29120</v>
      </c>
      <c r="B734" s="20" t="n">
        <f aca="false">SUMPRODUCT(固有振動数!$Q$6:$Q$22*(1-($A734/固有振動数!$O$6:$O$22)^2)/((1-($A734/固有振動数!$O$6:$O$22)^2)^2+固有振動数!$P$6:$P$22^2))</f>
        <v>6.24000465443103</v>
      </c>
      <c r="C734" s="20" t="n">
        <f aca="false">-SUMPRODUCT(固有振動数!$Q$6:$Q$22*固有振動数!$P$6:$P$22/((1-($A734/固有振動数!$O$6:$O$22)^2)^2+固有振動数!$P$6:$P$22^2))</f>
        <v>-0.0105183259191253</v>
      </c>
      <c r="D734" s="20" t="n">
        <f aca="false">SQRT(B734^2+C734^2)</f>
        <v>6.24001351941653</v>
      </c>
      <c r="E734" s="32" t="n">
        <f aca="false">20*LOG10(MAX(D734,0.000000000001)/$K$3)</f>
        <v>15.9037106122435</v>
      </c>
    </row>
    <row r="735" customFormat="false" ht="15" hidden="false" customHeight="false" outlineLevel="0" collapsed="false">
      <c r="A735" s="13" t="n">
        <f aca="false">A734+$F$3</f>
        <v>29160</v>
      </c>
      <c r="B735" s="20" t="n">
        <f aca="false">SUMPRODUCT(固有振動数!$Q$6:$Q$22*(1-($A735/固有振動数!$O$6:$O$22)^2)/((1-($A735/固有振動数!$O$6:$O$22)^2)^2+固有振動数!$P$6:$P$22^2))</f>
        <v>6.36782347286163</v>
      </c>
      <c r="C735" s="20" t="n">
        <f aca="false">-SUMPRODUCT(固有振動数!$Q$6:$Q$22*固有振動数!$P$6:$P$22/((1-($A735/固有振動数!$O$6:$O$22)^2)^2+固有振動数!$P$6:$P$22^2))</f>
        <v>-0.0106272833905863</v>
      </c>
      <c r="D735" s="20" t="n">
        <f aca="false">SQRT(B735^2+C735^2)</f>
        <v>6.3678323408111</v>
      </c>
      <c r="E735" s="32" t="n">
        <f aca="false">20*LOG10(MAX(D735,0.000000000001)/$K$3)</f>
        <v>16.07983240609</v>
      </c>
    </row>
    <row r="736" customFormat="false" ht="15" hidden="false" customHeight="false" outlineLevel="0" collapsed="false">
      <c r="A736" s="13" t="n">
        <f aca="false">A735+$F$3</f>
        <v>29200</v>
      </c>
      <c r="B736" s="20" t="n">
        <f aca="false">SUMPRODUCT(固有振動数!$Q$6:$Q$22*(1-($A736/固有振動数!$O$6:$O$22)^2)/((1-($A736/固有振動数!$O$6:$O$22)^2)^2+固有振動数!$P$6:$P$22^2))</f>
        <v>6.49664370399195</v>
      </c>
      <c r="C736" s="20" t="n">
        <f aca="false">-SUMPRODUCT(固有振動数!$Q$6:$Q$22*固有振動数!$P$6:$P$22/((1-($A736/固有振動数!$O$6:$O$22)^2)^2+固有振動数!$P$6:$P$22^2))</f>
        <v>-0.0107413522443964</v>
      </c>
      <c r="D736" s="20" t="n">
        <f aca="false">SQRT(B736^2+C736^2)</f>
        <v>6.49665258369772</v>
      </c>
      <c r="E736" s="32" t="n">
        <f aca="false">20*LOG10(MAX(D736,0.000000000001)/$K$3)</f>
        <v>16.2537928593425</v>
      </c>
    </row>
    <row r="737" customFormat="false" ht="15" hidden="false" customHeight="false" outlineLevel="0" collapsed="false">
      <c r="A737" s="13" t="n">
        <f aca="false">A736+$F$3</f>
        <v>29240</v>
      </c>
      <c r="B737" s="20" t="n">
        <f aca="false">SUMPRODUCT(固有振動数!$Q$6:$Q$22*(1-($A737/固有振動数!$O$6:$O$22)^2)/((1-($A737/固有振動数!$O$6:$O$22)^2)^2+固有振動数!$P$6:$P$22^2))</f>
        <v>6.62653096055132</v>
      </c>
      <c r="C737" s="20" t="n">
        <f aca="false">-SUMPRODUCT(固有振動数!$Q$6:$Q$22*固有振動数!$P$6:$P$22/((1-($A737/固有振動数!$O$6:$O$22)^2)^2+固有振動数!$P$6:$P$22^2))</f>
        <v>-0.0108607120242287</v>
      </c>
      <c r="D737" s="20" t="n">
        <f aca="false">SQRT(B737^2+C737^2)</f>
        <v>6.62653986075771</v>
      </c>
      <c r="E737" s="32" t="n">
        <f aca="false">20*LOG10(MAX(D737,0.000000000001)/$K$3)</f>
        <v>16.4257362946593</v>
      </c>
    </row>
    <row r="738" customFormat="false" ht="15" hidden="false" customHeight="false" outlineLevel="0" collapsed="false">
      <c r="A738" s="13" t="n">
        <f aca="false">A737+$F$3</f>
        <v>29280</v>
      </c>
      <c r="B738" s="20" t="n">
        <f aca="false">SUMPRODUCT(固有振動数!$Q$6:$Q$22*(1-($A738/固有振動数!$O$6:$O$22)^2)/((1-($A738/固有振動数!$O$6:$O$22)^2)^2+固有振動数!$P$6:$P$22^2))</f>
        <v>6.75755294291986</v>
      </c>
      <c r="C738" s="20" t="n">
        <f aca="false">-SUMPRODUCT(固有振動数!$Q$6:$Q$22*固有振動数!$P$6:$P$22/((1-($A738/固有振動数!$O$6:$O$22)^2)^2+固有振動数!$P$6:$P$22^2))</f>
        <v>-0.0109855547722142</v>
      </c>
      <c r="D738" s="20" t="n">
        <f aca="false">SQRT(B738^2+C738^2)</f>
        <v>6.75756187236036</v>
      </c>
      <c r="E738" s="32" t="n">
        <f aca="false">20*LOG10(MAX(D738,0.000000000001)/$K$3)</f>
        <v>16.5958006159441</v>
      </c>
    </row>
    <row r="739" customFormat="false" ht="15" hidden="false" customHeight="false" outlineLevel="0" collapsed="false">
      <c r="A739" s="13" t="n">
        <f aca="false">A738+$F$3</f>
        <v>29320</v>
      </c>
      <c r="B739" s="20" t="n">
        <f aca="false">SUMPRODUCT(固有振動数!$Q$6:$Q$22*(1-($A739/固有振動数!$O$6:$O$22)^2)/((1-($A739/固有振動数!$O$6:$O$22)^2)^2+固有振動数!$P$6:$P$22^2))</f>
        <v>6.88977959797675</v>
      </c>
      <c r="C739" s="20" t="n">
        <f aca="false">-SUMPRODUCT(固有振動数!$Q$6:$Q$22*固有振動数!$P$6:$P$22/((1-($A739/固有振動数!$O$6:$O$22)^2)^2+固有振動数!$P$6:$P$22^2))</f>
        <v>-0.0111160858524238</v>
      </c>
      <c r="D739" s="20" t="n">
        <f aca="false">SQRT(B739^2+C739^2)</f>
        <v>6.88978856541051</v>
      </c>
      <c r="E739" s="32" t="n">
        <f aca="false">20*LOG10(MAX(D739,0.000000000001)/$K$3)</f>
        <v>16.7641178887056</v>
      </c>
    </row>
    <row r="740" customFormat="false" ht="15" hidden="false" customHeight="false" outlineLevel="0" collapsed="false">
      <c r="A740" s="13" t="n">
        <f aca="false">A739+$F$3</f>
        <v>29360</v>
      </c>
      <c r="B740" s="20" t="n">
        <f aca="false">SUMPRODUCT(固有振動数!$Q$6:$Q$22*(1-($A740/固有振動数!$O$6:$O$22)^2)/((1-($A740/固有振動数!$O$6:$O$22)^2)^2+固有振動数!$P$6:$P$22^2))</f>
        <v>7.02328328815297</v>
      </c>
      <c r="C740" s="20" t="n">
        <f aca="false">-SUMPRODUCT(固有振動数!$Q$6:$Q$22*固有振動数!$P$6:$P$22/((1-($A740/固有振動数!$O$6:$O$22)^2)^2+固有振動数!$P$6:$P$22^2))</f>
        <v>-0.0112525248500084</v>
      </c>
      <c r="D740" s="20" t="n">
        <f aca="false">SQRT(B740^2+C740^2)</f>
        <v>7.02329230240095</v>
      </c>
      <c r="E740" s="32" t="n">
        <f aca="false">20*LOG10(MAX(D740,0.000000000001)/$K$3)</f>
        <v>16.9308148738877</v>
      </c>
    </row>
    <row r="741" customFormat="false" ht="15" hidden="false" customHeight="false" outlineLevel="0" collapsed="false">
      <c r="A741" s="13" t="n">
        <f aca="false">A740+$F$3</f>
        <v>29400</v>
      </c>
      <c r="B741" s="20" t="n">
        <f aca="false">SUMPRODUCT(固有振動数!$Q$6:$Q$22*(1-($A741/固有振動数!$O$6:$O$22)^2)/((1-($A741/固有振動数!$O$6:$O$22)^2)^2+固有振動数!$P$6:$P$22^2))</f>
        <v>7.15813897165558</v>
      </c>
      <c r="C741" s="20" t="n">
        <f aca="false">-SUMPRODUCT(固有振動数!$Q$6:$Q$22*固有振動数!$P$6:$P$22/((1-($A741/固有振動数!$O$6:$O$22)^2)^2+固有振動数!$P$6:$P$22^2))</f>
        <v>-0.0113951065533643</v>
      </c>
      <c r="D741" s="20" t="n">
        <f aca="false">SQRT(B741^2+C741^2)</f>
        <v>7.15814804163673</v>
      </c>
      <c r="E741" s="32" t="n">
        <f aca="false">20*LOG10(MAX(D741,0.000000000001)/$K$3)</f>
        <v>17.0960135206468</v>
      </c>
    </row>
    <row r="742" customFormat="false" ht="15" hidden="false" customHeight="false" outlineLevel="0" collapsed="false">
      <c r="A742" s="13" t="n">
        <f aca="false">A741+$F$3</f>
        <v>29440</v>
      </c>
      <c r="B742" s="20" t="n">
        <f aca="false">SUMPRODUCT(固有振動数!$Q$6:$Q$22*(1-($A742/固有振動数!$O$6:$O$22)^2)/((1-($A742/固有振動数!$O$6:$O$22)^2)^2+固有振動数!$P$6:$P$22^2))</f>
        <v>7.29442439492413</v>
      </c>
      <c r="C742" s="20" t="n">
        <f aca="false">-SUMPRODUCT(固有振動数!$Q$6:$Q$22*固有振動数!$P$6:$P$22/((1-($A742/固有振動数!$O$6:$O$22)^2)^2+固有振動数!$P$6:$P$22^2))</f>
        <v>-0.0115440820275539</v>
      </c>
      <c r="D742" s="20" t="n">
        <f aca="false">SQRT(B742^2+C742^2)</f>
        <v>7.29443352969195</v>
      </c>
      <c r="E742" s="32" t="n">
        <f aca="false">20*LOG10(MAX(D742,0.000000000001)/$K$3)</f>
        <v>17.2598314229274</v>
      </c>
    </row>
    <row r="743" customFormat="false" ht="15" hidden="false" customHeight="false" outlineLevel="0" collapsed="false">
      <c r="A743" s="13" t="n">
        <f aca="false">A742+$F$3</f>
        <v>29480</v>
      </c>
      <c r="B743" s="20" t="n">
        <f aca="false">SUMPRODUCT(固有振動数!$Q$6:$Q$22*(1-($A743/固有振動数!$O$6:$O$22)^2)/((1-($A743/固有振動数!$O$6:$O$22)^2)^2+固有振動数!$P$6:$P$22^2))</f>
        <v>7.43222029848527</v>
      </c>
      <c r="C743" s="20" t="n">
        <f aca="false">-SUMPRODUCT(固有振動数!$Q$6:$Q$22*固有振動数!$P$6:$P$22/((1-($A743/固有振動数!$O$6:$O$22)^2)^2+固有振動数!$P$6:$P$22^2))</f>
        <v>-0.0116997197881912</v>
      </c>
      <c r="D743" s="20" t="n">
        <f aca="false">SQRT(B743^2+C743^2)</f>
        <v>7.43222950726493</v>
      </c>
      <c r="E743" s="32" t="n">
        <f aca="false">20*LOG10(MAX(D743,0.000000000001)/$K$3)</f>
        <v>17.4223822441459</v>
      </c>
    </row>
    <row r="744" customFormat="false" ht="15" hidden="false" customHeight="false" outlineLevel="0" collapsed="false">
      <c r="A744" s="13" t="n">
        <f aca="false">A743+$F$3</f>
        <v>29520</v>
      </c>
      <c r="B744" s="20" t="n">
        <f aca="false">SUMPRODUCT(固有振動数!$Q$6:$Q$22*(1-($A744/固有振動数!$O$6:$O$22)^2)/((1-($A744/固有振動数!$O$6:$O$22)^2)^2+固有振動数!$P$6:$P$22^2))</f>
        <v>7.57161063748906</v>
      </c>
      <c r="C744" s="20" t="n">
        <f aca="false">-SUMPRODUCT(固有振動数!$Q$6:$Q$22*固有振動数!$P$6:$P$22/((1-($A744/固有振動数!$O$6:$O$22)^2)^2+固有振動数!$P$6:$P$22^2))</f>
        <v>-0.0118623070861001</v>
      </c>
      <c r="D744" s="20" t="n">
        <f aca="false">SQRT(B744^2+C744^2)</f>
        <v>7.57161992971563</v>
      </c>
      <c r="E744" s="32" t="n">
        <f aca="false">20*LOG10(MAX(D744,0.000000000001)/$K$3)</f>
        <v>17.5837761138384</v>
      </c>
    </row>
    <row r="745" customFormat="false" ht="15" hidden="false" customHeight="false" outlineLevel="0" collapsed="false">
      <c r="A745" s="13" t="n">
        <f aca="false">A744+$F$3</f>
        <v>29560</v>
      </c>
      <c r="B745" s="20" t="n">
        <f aca="false">SUMPRODUCT(固有振動数!$Q$6:$Q$22*(1-($A745/固有振動数!$O$6:$O$22)^2)/((1-($A745/固有振動数!$O$6:$O$22)^2)^2+固有振動数!$P$6:$P$22^2))</f>
        <v>7.71268281834297</v>
      </c>
      <c r="C745" s="20" t="n">
        <f aca="false">-SUMPRODUCT(固有振動数!$Q$6:$Q$22*固有振動数!$P$6:$P$22/((1-($A745/固有振動数!$O$6:$O$22)^2)^2+固有振動数!$P$6:$P$22^2))</f>
        <v>-0.0120321513143041</v>
      </c>
      <c r="D745" s="20" t="n">
        <f aca="false">SQRT(B745^2+C745^2)</f>
        <v>7.71269220370087</v>
      </c>
      <c r="E745" s="32" t="n">
        <f aca="false">20*LOG10(MAX(D745,0.000000000001)/$K$3)</f>
        <v>17.7441199997345</v>
      </c>
    </row>
    <row r="746" customFormat="false" ht="15" hidden="false" customHeight="false" outlineLevel="0" collapsed="false">
      <c r="A746" s="13" t="n">
        <f aca="false">A745+$F$3</f>
        <v>29600</v>
      </c>
      <c r="B746" s="20" t="n">
        <f aca="false">SUMPRODUCT(固有振動数!$Q$6:$Q$22*(1-($A746/固有振動数!$O$6:$O$22)^2)/((1-($A746/固有振動数!$O$6:$O$22)^2)^2+固有振動数!$P$6:$P$22^2))</f>
        <v>7.85552795300732</v>
      </c>
      <c r="C746" s="20" t="n">
        <f aca="false">-SUMPRODUCT(固有振動数!$Q$6:$Q$22*固有振動数!$P$6:$P$22/((1-($A746/固有振動数!$O$6:$O$22)^2)^2+固有振動数!$P$6:$P$22^2))</f>
        <v>-0.0122095815503225</v>
      </c>
      <c r="D746" s="20" t="n">
        <f aca="false">SQRT(B746^2+C746^2)</f>
        <v>7.85553744147153</v>
      </c>
      <c r="E746" s="32" t="n">
        <f aca="false">20*LOG10(MAX(D746,0.000000000001)/$K$3)</f>
        <v>17.9035180583814</v>
      </c>
    </row>
    <row r="747" customFormat="false" ht="15" hidden="false" customHeight="false" outlineLevel="0" collapsed="false">
      <c r="A747" s="13" t="n">
        <f aca="false">A746+$F$3</f>
        <v>29640</v>
      </c>
      <c r="B747" s="20" t="n">
        <f aca="false">SUMPRODUCT(固有振動数!$Q$6:$Q$22*(1-($A747/固有振動数!$O$6:$O$22)^2)/((1-($A747/固有振動数!$O$6:$O$22)^2)^2+固有振動数!$P$6:$P$22^2))</f>
        <v>8.00024113268294</v>
      </c>
      <c r="C747" s="20" t="n">
        <f aca="false">-SUMPRODUCT(固有振動数!$Q$6:$Q$22*固有振動数!$P$6:$P$22/((1-($A747/固有振動数!$O$6:$O$22)^2)^2+固有振動数!$P$6:$P$22^2))</f>
        <v>-0.012394950248355</v>
      </c>
      <c r="D747" s="20" t="n">
        <f aca="false">SQRT(B747^2+C747^2)</f>
        <v>8.00025073456224</v>
      </c>
      <c r="E747" s="32" t="n">
        <f aca="false">20*LOG10(MAX(D747,0.000000000001)/$K$3)</f>
        <v>18.0620719671649</v>
      </c>
    </row>
    <row r="748" customFormat="false" ht="15" hidden="false" customHeight="false" outlineLevel="0" collapsed="false">
      <c r="A748" s="13" t="n">
        <f aca="false">A747+$F$3</f>
        <v>29680</v>
      </c>
      <c r="B748" s="20" t="n">
        <f aca="false">SUMPRODUCT(固有振動数!$Q$6:$Q$22*(1-($A748/固有振動数!$O$6:$O$22)^2)/((1-($A748/固有振動数!$O$6:$O$22)^2)^2+固有振動数!$P$6:$P$22^2))</f>
        <v>8.14692172280901</v>
      </c>
      <c r="C748" s="20" t="n">
        <f aca="false">-SUMPRODUCT(固有振動数!$Q$6:$Q$22*固有振動数!$P$6:$P$22/((1-($A748/固有振動数!$O$6:$O$22)^2)^2+固有振動数!$P$6:$P$22^2))</f>
        <v>-0.0125886350977717</v>
      </c>
      <c r="D748" s="20" t="n">
        <f aca="false">SQRT(B748^2+C748^2)</f>
        <v>8.14693144879168</v>
      </c>
      <c r="E748" s="32" t="n">
        <f aca="false">20*LOG10(MAX(D748,0.000000000001)/$K$3)</f>
        <v>18.2198812403242</v>
      </c>
    </row>
    <row r="749" customFormat="false" ht="15" hidden="false" customHeight="false" outlineLevel="0" collapsed="false">
      <c r="A749" s="13" t="n">
        <f aca="false">A748+$F$3</f>
        <v>29720</v>
      </c>
      <c r="B749" s="20" t="n">
        <f aca="false">SUMPRODUCT(固有振動数!$Q$6:$Q$22*(1-($A749/固有振動数!$O$6:$O$22)^2)/((1-($A749/固有振動数!$O$6:$O$22)^2)^2+固有振動数!$P$6:$P$22^2))</f>
        <v>8.29567368150047</v>
      </c>
      <c r="C749" s="20" t="n">
        <f aca="false">-SUMPRODUCT(固有振動数!$Q$6:$Q$22*固有振動数!$P$6:$P$22/((1-($A749/固有振動数!$O$6:$O$22)^2)^2+固有振動数!$P$6:$P$22^2))</f>
        <v>-0.012791041066411</v>
      </c>
      <c r="D749" s="20" t="n">
        <f aca="false">SQRT(B749^2+C749^2)</f>
        <v>8.29568354270286</v>
      </c>
      <c r="E749" s="32" t="n">
        <f aca="false">20*LOG10(MAX(D749,0.000000000001)/$K$3)</f>
        <v>18.377043531363</v>
      </c>
    </row>
    <row r="750" customFormat="false" ht="15" hidden="false" customHeight="false" outlineLevel="0" collapsed="false">
      <c r="A750" s="13" t="n">
        <f aca="false">A749+$F$3</f>
        <v>29760</v>
      </c>
      <c r="B750" s="20" t="n">
        <f aca="false">SUMPRODUCT(固有振動数!$Q$6:$Q$22*(1-($A750/固有振動数!$O$6:$O$22)^2)/((1-($A750/固有振動数!$O$6:$O$22)^2)^2+固有振動数!$P$6:$P$22^2))</f>
        <v>8.44660590379297</v>
      </c>
      <c r="C750" s="20" t="n">
        <f aca="false">-SUMPRODUCT(固有振動数!$Q$6:$Q$22*固有振動数!$P$6:$P$22/((1-($A750/固有振動数!$O$6:$O$22)^2)^2+固有振動数!$P$6:$P$22^2))</f>
        <v>-0.0130026026495777</v>
      </c>
      <c r="D750" s="20" t="n">
        <f aca="false">SQRT(B750^2+C750^2)</f>
        <v>8.44661591181143</v>
      </c>
      <c r="E750" s="32" t="n">
        <f aca="false">20*LOG10(MAX(D750,0.000000000001)/$K$3)</f>
        <v>18.5336549240853</v>
      </c>
    </row>
    <row r="751" customFormat="false" ht="15" hidden="false" customHeight="false" outlineLevel="0" collapsed="false">
      <c r="A751" s="13" t="n">
        <f aca="false">A750+$F$3</f>
        <v>29800</v>
      </c>
      <c r="B751" s="20" t="n">
        <f aca="false">SUMPRODUCT(固有振動数!$Q$6:$Q$22*(1-($A751/固有振動数!$O$6:$O$22)^2)/((1-($A751/固有振動数!$O$6:$O$22)^2)^2+固有振動数!$P$6:$P$22^2))</f>
        <v>8.59983259433262</v>
      </c>
      <c r="C751" s="20" t="n">
        <f aca="false">-SUMPRODUCT(固有振動数!$Q$6:$Q$22*固有振動数!$P$6:$P$22/((1-($A751/固有振動数!$O$6:$O$22)^2)^2+固有振動数!$P$6:$P$22^2))</f>
        <v>-0.0132237863483625</v>
      </c>
      <c r="D751" s="20" t="n">
        <f aca="false">SQRT(B751^2+C751^2)</f>
        <v>8.59984276129925</v>
      </c>
      <c r="E751" s="32" t="n">
        <f aca="false">20*LOG10(MAX(D751,0.000000000001)/$K$3)</f>
        <v>18.6898102143496</v>
      </c>
    </row>
    <row r="752" customFormat="false" ht="15" hidden="false" customHeight="false" outlineLevel="0" collapsed="false">
      <c r="A752" s="13" t="n">
        <f aca="false">A751+$F$3</f>
        <v>29840</v>
      </c>
      <c r="B752" s="20" t="n">
        <f aca="false">SUMPRODUCT(固有振動数!$Q$6:$Q$22*(1-($A752/固有振動数!$O$6:$O$22)^2)/((1-($A752/固有振動数!$O$6:$O$22)^2)^2+固有振動数!$P$6:$P$22^2))</f>
        <v>8.75547367145305</v>
      </c>
      <c r="C752" s="20" t="n">
        <f aca="false">-SUMPRODUCT(固有振動数!$Q$6:$Q$22*固有振動数!$P$6:$P$22/((1-($A752/固有振動数!$O$6:$O$22)^2)^2+固有振動数!$P$6:$P$22^2))</f>
        <v>-0.0134550934040382</v>
      </c>
      <c r="D752" s="20" t="n">
        <f aca="false">SQRT(B752^2+C752^2)</f>
        <v>8.75548401009596</v>
      </c>
      <c r="E752" s="32" t="n">
        <f aca="false">20*LOG10(MAX(D752,0.000000000001)/$K$3)</f>
        <v>18.8456031845256</v>
      </c>
    </row>
    <row r="753" customFormat="false" ht="15" hidden="false" customHeight="false" outlineLevel="0" collapsed="false">
      <c r="A753" s="13" t="n">
        <f aca="false">A752+$F$3</f>
        <v>29880</v>
      </c>
      <c r="B753" s="20" t="n">
        <f aca="false">SUMPRODUCT(固有振動数!$Q$6:$Q$22*(1-($A753/固有振動数!$O$6:$O$22)^2)/((1-($A753/固有振動数!$O$6:$O$22)^2)^2+固有振動数!$P$6:$P$22^2))</f>
        <v>8.9136552059285</v>
      </c>
      <c r="C753" s="20" t="n">
        <f aca="false">-SUMPRODUCT(固有振動数!$Q$6:$Q$22*固有振動数!$P$6:$P$22/((1-($A753/固有振動数!$O$6:$O$22)^2)^2+固有振動数!$P$6:$P$22^2))</f>
        <v>-0.0136970628188899</v>
      </c>
      <c r="D753" s="20" t="n">
        <f aca="false">SQRT(B753^2+C753^2)</f>
        <v>8.91366572963706</v>
      </c>
      <c r="E753" s="32" t="n">
        <f aca="false">20*LOG10(MAX(D753,0.000000000001)/$K$3)</f>
        <v>19.0011268725529</v>
      </c>
    </row>
    <row r="754" customFormat="false" ht="15" hidden="false" customHeight="false" outlineLevel="0" collapsed="false">
      <c r="A754" s="13" t="n">
        <f aca="false">A753+$F$3</f>
        <v>29920</v>
      </c>
      <c r="B754" s="20" t="n">
        <f aca="false">SUMPRODUCT(固有振動数!$Q$6:$Q$22*(1-($A754/固有振動数!$O$6:$O$22)^2)/((1-($A754/固有振動数!$O$6:$O$22)^2)^2+固有振動数!$P$6:$P$22^2))</f>
        <v>9.07450989808426</v>
      </c>
      <c r="C754" s="20" t="n">
        <f aca="false">-SUMPRODUCT(固有振動数!$Q$6:$Q$22*固有振動数!$P$6:$P$22/((1-($A754/固有振動数!$O$6:$O$22)^2)^2+固有振動数!$P$6:$P$22^2))</f>
        <v>-0.0139502746979766</v>
      </c>
      <c r="D754" s="20" t="n">
        <f aca="false">SQRT(B754^2+C754^2)</f>
        <v>9.07452062098012</v>
      </c>
      <c r="E754" s="32" t="n">
        <f aca="false">20*LOG10(MAX(D754,0.000000000001)/$K$3)</f>
        <v>19.1564738374423</v>
      </c>
    </row>
    <row r="755" customFormat="false" ht="15" hidden="false" customHeight="false" outlineLevel="0" collapsed="false">
      <c r="A755" s="13" t="n">
        <f aca="false">A754+$F$3</f>
        <v>29960</v>
      </c>
      <c r="B755" s="20" t="n">
        <f aca="false">SUMPRODUCT(固有振動数!$Q$6:$Q$22*(1-($A755/固有振動数!$O$6:$O$22)^2)/((1-($A755/固有振動数!$O$6:$O$22)^2)^2+固有振動数!$P$6:$P$22^2))</f>
        <v>9.23817759739345</v>
      </c>
      <c r="C755" s="20" t="n">
        <f aca="false">-SUMPRODUCT(固有振動数!$Q$6:$Q$22*固有振動数!$P$6:$P$22/((1-($A755/固有振動数!$O$6:$O$22)^2)^2+固有振動数!$P$6:$P$22^2))</f>
        <v>-0.0142153539511104</v>
      </c>
      <c r="D755" s="20" t="n">
        <f aca="false">SQRT(B755^2+C755^2)</f>
        <v>9.23818853440814</v>
      </c>
      <c r="E755" s="32" t="n">
        <f aca="false">20*LOG10(MAX(D755,0.000000000001)/$K$3)</f>
        <v>19.3117364230246</v>
      </c>
    </row>
    <row r="756" customFormat="false" ht="15" hidden="false" customHeight="false" outlineLevel="0" collapsed="false">
      <c r="A756" s="13" t="n">
        <f aca="false">A755+$F$3</f>
        <v>30000</v>
      </c>
      <c r="B756" s="20" t="n">
        <f aca="false">SUMPRODUCT(固有振動数!$Q$6:$Q$22*(1-($A756/固有振動数!$O$6:$O$22)^2)/((1-($A756/固有振動数!$O$6:$O$22)^2)^2+固有振動数!$P$6:$P$22^2))</f>
        <v>9.40480586919871</v>
      </c>
      <c r="C756" s="20" t="n">
        <f aca="false">-SUMPRODUCT(固有振動数!$Q$6:$Q$22*固有振動数!$P$6:$P$22/((1-($A756/固有振動数!$O$6:$O$22)^2)^2+固有振動数!$P$6:$P$22^2))</f>
        <v>-0.0144929743998641</v>
      </c>
      <c r="D756" s="20" t="n">
        <f aca="false">SQRT(B756^2+C756^2)</f>
        <v>9.40481703615873</v>
      </c>
      <c r="E756" s="32" t="n">
        <f aca="false">20*LOG10(MAX(D756,0.000000000001)/$K$3)</f>
        <v>19.4670070217374</v>
      </c>
    </row>
    <row r="757" customFormat="false" ht="15" hidden="false" customHeight="false" outlineLevel="0" collapsed="false">
      <c r="A757" s="13" t="n">
        <f aca="false">A756+$F$3</f>
        <v>30040</v>
      </c>
      <c r="B757" s="20" t="n">
        <f aca="false">SUMPRODUCT(固有振動数!$Q$6:$Q$22*(1-($A757/固有振動数!$O$6:$O$22)^2)/((1-($A757/固有振動数!$O$6:$O$22)^2)^2+固有振動数!$P$6:$P$22^2))</f>
        <v>9.57455061377974</v>
      </c>
      <c r="C757" s="20" t="n">
        <f aca="false">-SUMPRODUCT(固有振動数!$Q$6:$Q$22*固有振動数!$P$6:$P$22/((1-($A757/固有振動数!$O$6:$O$22)^2)^2+固有振動数!$P$6:$P$22^2))</f>
        <v>-0.0147838633408292</v>
      </c>
      <c r="D757" s="20" t="n">
        <f aca="false">SQRT(B757^2+C757^2)</f>
        <v>9.57456202750002</v>
      </c>
      <c r="E757" s="32" t="n">
        <f aca="false">20*LOG10(MAX(D757,0.000000000001)/$K$3)</f>
        <v>19.6223783402486</v>
      </c>
    </row>
    <row r="758" customFormat="false" ht="15" hidden="false" customHeight="false" outlineLevel="0" collapsed="false">
      <c r="A758" s="13" t="n">
        <f aca="false">A757+$F$3</f>
        <v>30080</v>
      </c>
      <c r="B758" s="20" t="n">
        <f aca="false">SUMPRODUCT(固有振動数!$Q$6:$Q$22*(1-($A758/固有振動数!$O$6:$O$22)^2)/((1-($A758/固有振動数!$O$6:$O$22)^2)^2+固有振動数!$P$6:$P$22^2))</f>
        <v>9.74757674365415</v>
      </c>
      <c r="C758" s="20" t="n">
        <f aca="false">-SUMPRODUCT(固有振動数!$Q$6:$Q$22*固有振動数!$P$6:$P$22/((1-($A758/固有振動数!$O$6:$O$22)^2)^2+固有振動数!$P$6:$P$22^2))</f>
        <v>-0.0150888066237857</v>
      </c>
      <c r="D758" s="20" t="n">
        <f aca="false">SQRT(B758^2+C758^2)</f>
        <v>9.74758842204125</v>
      </c>
      <c r="E758" s="32" t="n">
        <f aca="false">20*LOG10(MAX(D758,0.000000000001)/$K$3)</f>
        <v>19.7779436687479</v>
      </c>
    </row>
    <row r="759" customFormat="false" ht="15" hidden="false" customHeight="false" outlineLevel="0" collapsed="false">
      <c r="A759" s="13" t="n">
        <f aca="false">A758+$F$3</f>
        <v>30120</v>
      </c>
      <c r="B759" s="20" t="n">
        <f aca="false">SUMPRODUCT(固有振動数!$Q$6:$Q$22*(1-($A759/固有振動数!$O$6:$O$22)^2)/((1-($A759/固有振動数!$O$6:$O$22)^2)^2+固有振動数!$P$6:$P$22^2))</f>
        <v>9.92405892576307</v>
      </c>
      <c r="C759" s="20" t="n">
        <f aca="false">-SUMPRODUCT(固有振動数!$Q$6:$Q$22*固有振動数!$P$6:$P$22/((1-($A759/固有振動数!$O$6:$O$22)^2)^2+固有振動数!$P$6:$P$22^2))</f>
        <v>-0.0154086543121092</v>
      </c>
      <c r="D759" s="20" t="n">
        <f aca="false">SQRT(B759^2+C759^2)</f>
        <v>9.92407088792927</v>
      </c>
      <c r="E759" s="32" t="n">
        <f aca="false">20*LOG10(MAX(D759,0.000000000001)/$K$3)</f>
        <v>19.9337971557893</v>
      </c>
    </row>
    <row r="760" customFormat="false" ht="15" hidden="false" customHeight="false" outlineLevel="0" collapsed="false">
      <c r="A760" s="13" t="n">
        <f aca="false">A759+$F$3</f>
        <v>30160</v>
      </c>
      <c r="B760" s="20" t="n">
        <f aca="false">SUMPRODUCT(固有振動数!$Q$6:$Q$22*(1-($A760/固有振動数!$O$6:$O$22)^2)/((1-($A760/固有振動数!$O$6:$O$22)^2)^2+固有振動数!$P$6:$P$22^2))</f>
        <v>10.1041823960713</v>
      </c>
      <c r="C760" s="20" t="n">
        <f aca="false">-SUMPRODUCT(固有振動数!$Q$6:$Q$22*固有振動数!$P$6:$P$22/((1-($A760/固有振動数!$O$6:$O$22)^2)^2+固有振動数!$P$6:$P$22^2))</f>
        <v>-0.0157443270028458</v>
      </c>
      <c r="D760" s="20" t="n">
        <f aca="false">SQRT(B760^2+C760^2)</f>
        <v>10.1041946624612</v>
      </c>
      <c r="E760" s="32" t="n">
        <f aca="false">20*LOG10(MAX(D760,0.000000000001)/$K$3)</f>
        <v>20.0900340906493</v>
      </c>
    </row>
    <row r="761" customFormat="false" ht="15" hidden="false" customHeight="false" outlineLevel="0" collapsed="false">
      <c r="A761" s="13" t="n">
        <f aca="false">A760+$F$3</f>
        <v>30200</v>
      </c>
      <c r="B761" s="20" t="n">
        <f aca="false">SUMPRODUCT(固有振動数!$Q$6:$Q$22*(1-($A761/固有振動数!$O$6:$O$22)^2)/((1-($A761/固有振動数!$O$6:$O$22)^2)^2+固有振動数!$P$6:$P$22^2))</f>
        <v>10.2881438551232</v>
      </c>
      <c r="C761" s="20" t="n">
        <f aca="false">-SUMPRODUCT(固有振動数!$Q$6:$Q$22*固有振動数!$P$6:$P$22/((1-($A761/固有振動数!$O$6:$O$22)^2)^2+固有振動数!$P$6:$P$22^2))</f>
        <v>-0.0160968228957092</v>
      </c>
      <c r="D761" s="20" t="n">
        <f aca="false">SQRT(B761^2+C761^2)</f>
        <v>10.2881564476546</v>
      </c>
      <c r="E761" s="32" t="n">
        <f aca="false">20*LOG10(MAX(D761,0.000000000001)/$K$3)</f>
        <v>20.2467511952664</v>
      </c>
    </row>
    <row r="762" customFormat="false" ht="15" hidden="false" customHeight="false" outlineLevel="0" collapsed="false">
      <c r="A762" s="13" t="n">
        <f aca="false">A761+$F$3</f>
        <v>30240</v>
      </c>
      <c r="B762" s="20" t="n">
        <f aca="false">SUMPRODUCT(固有振動数!$Q$6:$Q$22*(1-($A762/固有振動数!$O$6:$O$22)^2)/((1-($A762/固有振動数!$O$6:$O$22)^2)^2+固有振動数!$P$6:$P$22^2))</f>
        <v>10.4761524542627</v>
      </c>
      <c r="C762" s="20" t="n">
        <f aca="false">-SUMPRODUCT(固有振動数!$Q$6:$Q$22*固有振動数!$P$6:$P$22/((1-($A762/固有振動数!$O$6:$O$22)^2)^2+固有振動数!$P$6:$P$22^2))</f>
        <v>-0.0164672257141144</v>
      </c>
      <c r="D762" s="20" t="n">
        <f aca="false">SQRT(B762^2+C762^2)</f>
        <v>10.4761653964835</v>
      </c>
      <c r="E762" s="32" t="n">
        <f aca="false">20*LOG10(MAX(D762,0.000000000001)/$K$3)</f>
        <v>20.404046927964</v>
      </c>
    </row>
    <row r="763" customFormat="false" ht="15" hidden="false" customHeight="false" outlineLevel="0" collapsed="false">
      <c r="A763" s="13" t="n">
        <f aca="false">A762+$F$3</f>
        <v>30280</v>
      </c>
      <c r="B763" s="20" t="n">
        <f aca="false">SUMPRODUCT(固有振動数!$Q$6:$Q$22*(1-($A763/固有振動数!$O$6:$O$22)^2)/((1-($A763/固有振動数!$O$6:$O$22)^2)^2+固有振動数!$P$6:$P$22^2))</f>
        <v>10.6684308835763</v>
      </c>
      <c r="C763" s="20" t="n">
        <f aca="false">-SUMPRODUCT(固有振動数!$Q$6:$Q$22*固有振動数!$P$6:$P$22/((1-($A763/固有振動数!$O$6:$O$22)^2)^2+固有振動数!$P$6:$P$22^2))</f>
        <v>-0.0168567135976598</v>
      </c>
      <c r="D763" s="20" t="n">
        <f aca="false">SQRT(B763^2+C763^2)</f>
        <v>10.6684442008401</v>
      </c>
      <c r="E763" s="32" t="n">
        <f aca="false">20*LOG10(MAX(D763,0.000000000001)/$K$3)</f>
        <v>20.5620218013194</v>
      </c>
    </row>
    <row r="764" customFormat="false" ht="15" hidden="false" customHeight="false" outlineLevel="0" collapsed="false">
      <c r="A764" s="13" t="n">
        <f aca="false">A763+$F$3</f>
        <v>30320</v>
      </c>
      <c r="B764" s="20" t="n">
        <f aca="false">SUMPRODUCT(固有振動数!$Q$6:$Q$22*(1-($A764/固有振動数!$O$6:$O$22)^2)/((1-($A764/固有振動数!$O$6:$O$22)^2)^2+固有振動数!$P$6:$P$22^2))</f>
        <v>10.865216574184</v>
      </c>
      <c r="C764" s="20" t="n">
        <f aca="false">-SUMPRODUCT(固有振動数!$Q$6:$Q$22*固有振動数!$P$6:$P$22/((1-($A764/固有振動数!$O$6:$O$22)^2)^2+固有振動数!$P$6:$P$22^2))</f>
        <v>-0.0172665691046805</v>
      </c>
      <c r="D764" s="20" t="n">
        <f aca="false">SQRT(B764^2+C764^2)</f>
        <v>10.865230293847</v>
      </c>
      <c r="E764" s="32" t="n">
        <f aca="false">20*LOG10(MAX(D764,0.000000000001)/$K$3)</f>
        <v>20.7207787167425</v>
      </c>
    </row>
    <row r="765" customFormat="false" ht="15" hidden="false" customHeight="false" outlineLevel="0" collapsed="false">
      <c r="A765" s="13" t="n">
        <f aca="false">A764+$F$3</f>
        <v>30360</v>
      </c>
      <c r="B765" s="20" t="n">
        <f aca="false">SUMPRODUCT(固有振動数!$Q$6:$Q$22*(1-($A765/固有振動数!$O$6:$O$22)^2)/((1-($A765/固有振動数!$O$6:$O$22)^2)^2+固有振動数!$P$6:$P$22^2))</f>
        <v>11.0667630293243</v>
      </c>
      <c r="C765" s="20" t="n">
        <f aca="false">-SUMPRODUCT(固有振動数!$Q$6:$Q$22*固有振動数!$P$6:$P$22/((1-($A765/固有振動数!$O$6:$O$22)^2)^2+固有振動数!$P$6:$P$22^2))</f>
        <v>-0.0176981904862042</v>
      </c>
      <c r="D765" s="20" t="n">
        <f aca="false">SQRT(B765^2+C765^2)</f>
        <v>11.0667771809667</v>
      </c>
      <c r="E765" s="32" t="n">
        <f aca="false">20*LOG10(MAX(D765,0.000000000001)/$K$3)</f>
        <v>20.8804233185628</v>
      </c>
    </row>
    <row r="766" customFormat="false" ht="15" hidden="false" customHeight="false" outlineLevel="0" collapsed="false">
      <c r="A766" s="13" t="n">
        <f aca="false">A765+$F$3</f>
        <v>30400</v>
      </c>
      <c r="B766" s="20" t="n">
        <f aca="false">SUMPRODUCT(固有振動数!$Q$6:$Q$22*(1-($A766/固有振動数!$O$6:$O$22)^2)/((1-($A766/固有振動数!$O$6:$O$22)^2)^2+固有振動数!$P$6:$P$22^2))</f>
        <v>11.2733413008015</v>
      </c>
      <c r="C766" s="20" t="n">
        <f aca="false">-SUMPRODUCT(固有振動数!$Q$6:$Q$22*固有振動数!$P$6:$P$22/((1-($A766/固有振動数!$O$6:$O$22)^2)^2+固有振動数!$P$6:$P$22^2))</f>
        <v>-0.0181531044195593</v>
      </c>
      <c r="D766" s="20" t="n">
        <f aca="false">SQRT(B766^2+C766^2)</f>
        <v>11.2733559164765</v>
      </c>
      <c r="E766" s="32" t="n">
        <f aca="false">20*LOG10(MAX(D766,0.000000000001)/$K$3)</f>
        <v>21.0410643707075</v>
      </c>
    </row>
    <row r="767" customFormat="false" ht="15" hidden="false" customHeight="false" outlineLevel="0" collapsed="false">
      <c r="A767" s="13" t="n">
        <f aca="false">A766+$F$3</f>
        <v>30440</v>
      </c>
      <c r="B767" s="20" t="n">
        <f aca="false">SUMPRODUCT(固有振動数!$Q$6:$Q$22*(1-($A767/固有振動数!$O$6:$O$22)^2)/((1-($A767/固有振動数!$O$6:$O$22)^2)^2+固有振動数!$P$6:$P$22^2))</f>
        <v>11.4852416298434</v>
      </c>
      <c r="C767" s="20" t="n">
        <f aca="false">-SUMPRODUCT(固有振動数!$Q$6:$Q$22*固有振動数!$P$6:$P$22/((1-($A767/固有振動数!$O$6:$O$22)^2)^2+固有振動数!$P$6:$P$22^2))</f>
        <v>-0.0186329804218963</v>
      </c>
      <c r="D767" s="20" t="n">
        <f aca="false">SQRT(B767^2+C767^2)</f>
        <v>11.4852567443592</v>
      </c>
      <c r="E767" s="32" t="n">
        <f aca="false">20*LOG10(MAX(D767,0.000000000001)/$K$3)</f>
        <v>21.2028141593839</v>
      </c>
    </row>
    <row r="768" customFormat="false" ht="15" hidden="false" customHeight="false" outlineLevel="0" collapsed="false">
      <c r="A768" s="13" t="n">
        <f aca="false">A767+$F$3</f>
        <v>30480</v>
      </c>
      <c r="B768" s="20" t="n">
        <f aca="false">SUMPRODUCT(固有振動数!$Q$6:$Q$22*(1-($A768/固有振動数!$O$6:$O$22)^2)/((1-($A768/固有振動数!$O$6:$O$22)^2)^2+固有振動数!$P$6:$P$22^2))</f>
        <v>11.7027752743243</v>
      </c>
      <c r="C768" s="20" t="n">
        <f aca="false">-SUMPRODUCT(固有振動数!$Q$6:$Q$22*固有振動数!$P$6:$P$22/((1-($A768/固有振動数!$O$6:$O$22)^2)^2+固有振動数!$P$6:$P$22^2))</f>
        <v>-0.0191396472020539</v>
      </c>
      <c r="D768" s="20" t="n">
        <f aca="false">SQRT(B768^2+C768^2)</f>
        <v>11.7027909255626</v>
      </c>
      <c r="E768" s="32" t="n">
        <f aca="false">20*LOG10(MAX(D768,0.000000000001)/$K$3)</f>
        <v>21.3657889255705</v>
      </c>
    </row>
    <row r="769" customFormat="false" ht="15" hidden="false" customHeight="false" outlineLevel="0" collapsed="false">
      <c r="A769" s="13" t="n">
        <f aca="false">A768+$F$3</f>
        <v>30520</v>
      </c>
      <c r="B769" s="20" t="n">
        <f aca="false">SUMPRODUCT(固有振動数!$Q$6:$Q$22*(1-($A769/固有振動数!$O$6:$O$22)^2)/((1-($A769/固有振動数!$O$6:$O$22)^2)^2+固有振動数!$P$6:$P$22^2))</f>
        <v>11.926276547724</v>
      </c>
      <c r="C769" s="20" t="n">
        <f aca="false">-SUMPRODUCT(固有振動数!$Q$6:$Q$22*固有振動数!$P$6:$P$22/((1-($A769/固有振動数!$O$6:$O$22)^2)^2+固有振動数!$P$6:$P$22^2))</f>
        <v>-0.019675111254876</v>
      </c>
      <c r="D769" s="20" t="n">
        <f aca="false">SQRT(B769^2+C769^2)</f>
        <v>11.926292777003</v>
      </c>
      <c r="E769" s="32" t="n">
        <f aca="false">20*LOG10(MAX(D769,0.000000000001)/$K$3)</f>
        <v>21.5301093315815</v>
      </c>
    </row>
    <row r="770" customFormat="false" ht="15" hidden="false" customHeight="false" outlineLevel="0" collapsed="false">
      <c r="A770" s="13" t="n">
        <f aca="false">A769+$F$3</f>
        <v>30560</v>
      </c>
      <c r="B770" s="20" t="n">
        <f aca="false">SUMPRODUCT(固有振動数!$Q$6:$Q$22*(1-($A770/固有振動数!$O$6:$O$22)^2)/((1-($A770/固有振動数!$O$6:$O$22)^2)^2+固有振動数!$P$6:$P$22^2))</f>
        <v>12.1561050992215</v>
      </c>
      <c r="C770" s="20" t="n">
        <f aca="false">-SUMPRODUCT(固有振動数!$Q$6:$Q$22*固有振動数!$P$6:$P$22/((1-($A770/固有振動数!$O$6:$O$22)^2)^2+固有振動数!$P$6:$P$22^2))</f>
        <v>-0.0202415780569132</v>
      </c>
      <c r="D770" s="20" t="n">
        <f aca="false">SQRT(B770^2+C770^2)</f>
        <v>12.1561219517081</v>
      </c>
      <c r="E770" s="32" t="n">
        <f aca="false">20*LOG10(MAX(D770,0.000000000001)/$K$3)</f>
        <v>21.6959009665066</v>
      </c>
    </row>
    <row r="771" customFormat="false" ht="15" hidden="false" customHeight="false" outlineLevel="0" collapsed="false">
      <c r="A771" s="13" t="n">
        <f aca="false">A770+$F$3</f>
        <v>30600</v>
      </c>
      <c r="B771" s="20" t="n">
        <f aca="false">SUMPRODUCT(固有振動数!$Q$6:$Q$22*(1-($A771/固有振動数!$O$6:$O$22)^2)/((1-($A771/固有振動数!$O$6:$O$22)^2)^2+固有振動数!$P$6:$P$22^2))</f>
        <v>12.3926484690796</v>
      </c>
      <c r="C771" s="20" t="n">
        <f aca="false">-SUMPRODUCT(固有振動数!$Q$6:$Q$22*固有振動数!$P$6:$P$22/((1-($A771/固有振動数!$O$6:$O$22)^2)^2+固有振動数!$P$6:$P$22^2))</f>
        <v>-0.0208414762884767</v>
      </c>
      <c r="D771" s="20" t="n">
        <f aca="false">SQRT(B771^2+C771^2)</f>
        <v>12.392665994261</v>
      </c>
      <c r="E771" s="32" t="n">
        <f aca="false">20*LOG10(MAX(D771,0.000000000001)/$K$3)</f>
        <v>21.8632948959598</v>
      </c>
    </row>
    <row r="772" customFormat="false" ht="15" hidden="false" customHeight="false" outlineLevel="0" collapsed="false">
      <c r="A772" s="13" t="n">
        <f aca="false">A771+$F$3</f>
        <v>30640</v>
      </c>
      <c r="B772" s="20" t="n">
        <f aca="false">SUMPRODUCT(固有振動数!$Q$6:$Q$22*(1-($A772/固有振動数!$O$6:$O$22)^2)/((1-($A772/固有振動数!$O$6:$O$22)^2)^2+固有振動数!$P$6:$P$22^2))</f>
        <v>12.6363249591271</v>
      </c>
      <c r="C772" s="20" t="n">
        <f aca="false">-SUMPRODUCT(固有振動数!$Q$6:$Q$22*固有振動数!$P$6:$P$22/((1-($A772/固有振動数!$O$6:$O$22)^2)^2+固有振動数!$P$6:$P$22^2))</f>
        <v>-0.0214774855868413</v>
      </c>
      <c r="D772" s="20" t="n">
        <f aca="false">SQRT(B772^2+C772^2)</f>
        <v>12.6363432113506</v>
      </c>
      <c r="E772" s="32" t="n">
        <f aca="false">20*LOG10(MAX(D772,0.000000000001)/$K$3)</f>
        <v>22.0324282623125</v>
      </c>
    </row>
    <row r="773" customFormat="false" ht="15" hidden="false" customHeight="false" outlineLevel="0" collapsed="false">
      <c r="A773" s="13" t="n">
        <f aca="false">A772+$F$3</f>
        <v>30680</v>
      </c>
      <c r="B773" s="20" t="n">
        <f aca="false">SUMPRODUCT(固有振動数!$Q$6:$Q$22*(1-($A773/固有振動数!$O$6:$O$22)^2)/((1-($A773/固有振動数!$O$6:$O$22)^2)^2+固有振動数!$P$6:$P$22^2))</f>
        <v>12.8875868648642</v>
      </c>
      <c r="C773" s="20" t="n">
        <f aca="false">-SUMPRODUCT(固有振動数!$Q$6:$Q$22*固有振動数!$P$6:$P$22/((1-($A773/固有振動数!$O$6:$O$22)^2)^2+固有振動数!$P$6:$P$22^2))</f>
        <v>-0.0221525684322414</v>
      </c>
      <c r="D773" s="20" t="n">
        <f aca="false">SQRT(B773^2+C773^2)</f>
        <v>12.887605903957</v>
      </c>
      <c r="E773" s="32" t="n">
        <f aca="false">20*LOG10(MAX(D773,0.000000000001)/$K$3)</f>
        <v>22.2034449424603</v>
      </c>
    </row>
    <row r="774" customFormat="false" ht="15" hidden="false" customHeight="false" outlineLevel="0" collapsed="false">
      <c r="A774" s="13" t="n">
        <f aca="false">A773+$F$3</f>
        <v>30720</v>
      </c>
      <c r="B774" s="20" t="n">
        <f aca="false">SUMPRODUCT(固有振動数!$Q$6:$Q$22*(1-($A774/固有振動数!$O$6:$O$22)^2)/((1-($A774/固有振動数!$O$6:$O$22)^2)^2+固有振動数!$P$6:$P$22^2))</f>
        <v>13.1469241237404</v>
      </c>
      <c r="C774" s="20" t="n">
        <f aca="false">-SUMPRODUCT(固有振動数!$Q$6:$Q$22*固有振動数!$P$6:$P$22/((1-($A774/固有振動数!$O$6:$O$22)^2)^2+固有振動数!$P$6:$P$22^2))</f>
        <v>-0.0228700068862577</v>
      </c>
      <c r="D774" s="20" t="n">
        <f aca="false">SQRT(B774^2+C774^2)</f>
        <v>13.1469440157248</v>
      </c>
      <c r="E774" s="32" t="n">
        <f aca="false">20*LOG10(MAX(D774,0.000000000001)/$K$3)</f>
        <v>22.3764962711956</v>
      </c>
    </row>
    <row r="775" customFormat="false" ht="15" hidden="false" customHeight="false" outlineLevel="0" collapsed="false">
      <c r="A775" s="13" t="n">
        <f aca="false">A774+$F$3</f>
        <v>30760</v>
      </c>
      <c r="B775" s="20" t="n">
        <f aca="false">SUMPRODUCT(固有振動数!$Q$6:$Q$22*(1-($A775/固有振動数!$O$6:$O$22)^2)/((1-($A775/固有振動数!$O$6:$O$22)^2)^2+固有振動数!$P$6:$P$22^2))</f>
        <v>13.4148684437771</v>
      </c>
      <c r="C775" s="20" t="n">
        <f aca="false">-SUMPRODUCT(固有振動数!$Q$6:$Q$22*固有振動数!$P$6:$P$22/((1-($A775/固有振動数!$O$6:$O$22)^2)^2+固有振動数!$P$6:$P$22^2))</f>
        <v>-0.0236334450464206</v>
      </c>
      <c r="D775" s="20" t="n">
        <f aca="false">SQRT(B775^2+C775^2)</f>
        <v>13.4148892616962</v>
      </c>
      <c r="E775" s="32" t="n">
        <f aca="false">20*LOG10(MAX(D775,0.000000000001)/$K$3)</f>
        <v>22.5517418394767</v>
      </c>
    </row>
    <row r="776" customFormat="false" ht="15" hidden="false" customHeight="false" outlineLevel="0" collapsed="false">
      <c r="A776" s="13" t="n">
        <f aca="false">A775+$F$3</f>
        <v>30800</v>
      </c>
      <c r="B776" s="20" t="n">
        <f aca="false">SUMPRODUCT(固有振動数!$Q$6:$Q$22*(1-($A776/固有振動数!$O$6:$O$22)^2)/((1-($A776/固有振動数!$O$6:$O$22)^2)^2+固有振動数!$P$6:$P$22^2))</f>
        <v>13.6919979882716</v>
      </c>
      <c r="C776" s="20" t="n">
        <f aca="false">-SUMPRODUCT(固有振動数!$Q$6:$Q$22*固有振動数!$P$6:$P$22/((1-($A776/固有振動数!$O$6:$O$22)^2)^2+固有振動数!$P$6:$P$22^2))</f>
        <v>-0.0244469382579536</v>
      </c>
      <c r="D776" s="20" t="n">
        <f aca="false">SQRT(B776^2+C776^2)</f>
        <v>13.6920198131475</v>
      </c>
      <c r="E776" s="32" t="n">
        <f aca="false">20*LOG10(MAX(D776,0.000000000001)/$K$3)</f>
        <v>22.7293503783124</v>
      </c>
    </row>
    <row r="777" customFormat="false" ht="15" hidden="false" customHeight="false" outlineLevel="0" collapsed="false">
      <c r="A777" s="13" t="n">
        <f aca="false">A776+$F$3</f>
        <v>30840</v>
      </c>
      <c r="B777" s="20" t="n">
        <f aca="false">SUMPRODUCT(固有振動数!$Q$6:$Q$22*(1-($A777/固有振動数!$O$6:$O$22)^2)/((1-($A777/固有振動数!$O$6:$O$22)^2)^2+固有振動数!$P$6:$P$22^2))</f>
        <v>13.9789427062976</v>
      </c>
      <c r="C777" s="20" t="n">
        <f aca="false">-SUMPRODUCT(固有振動数!$Q$6:$Q$22*固有振動数!$P$6:$P$22/((1-($A777/固有振動数!$O$6:$O$22)^2)^2+固有振動数!$P$6:$P$22^2))</f>
        <v>-0.0253150103419647</v>
      </c>
      <c r="D777" s="20" t="n">
        <f aca="false">SQRT(B777^2+C777^2)</f>
        <v>13.9789656282466</v>
      </c>
      <c r="E777" s="32" t="n">
        <f aca="false">20*LOG10(MAX(D777,0.000000000001)/$K$3)</f>
        <v>22.9095007406906</v>
      </c>
    </row>
    <row r="778" customFormat="false" ht="15" hidden="false" customHeight="false" outlineLevel="0" collapsed="false">
      <c r="A778" s="13" t="n">
        <f aca="false">A777+$F$3</f>
        <v>30880</v>
      </c>
      <c r="B778" s="20" t="n">
        <f aca="false">SUMPRODUCT(固有振動数!$Q$6:$Q$22*(1-($A778/固有振動数!$O$6:$O$22)^2)/((1-($A778/固有振動数!$O$6:$O$22)^2)^2+固有振動数!$P$6:$P$22^2))</f>
        <v>14.2763904156565</v>
      </c>
      <c r="C778" s="20" t="n">
        <f aca="false">-SUMPRODUCT(固有振動数!$Q$6:$Q$22*固有振動数!$P$6:$P$22/((1-($A778/固有振動数!$O$6:$O$22)^2)^2+固有振動数!$P$6:$P$22^2))</f>
        <v>-0.0262427203699327</v>
      </c>
      <c r="D778" s="20" t="n">
        <f aca="false">SQRT(B778^2+C778^2)</f>
        <v>14.2764145351913</v>
      </c>
      <c r="E778" s="32" t="n">
        <f aca="false">20*LOG10(MAX(D778,0.000000000001)/$K$3)</f>
        <v>23.0923829960008</v>
      </c>
    </row>
    <row r="779" customFormat="false" ht="15" hidden="false" customHeight="false" outlineLevel="0" collapsed="false">
      <c r="A779" s="13" t="n">
        <f aca="false">A778+$F$3</f>
        <v>30920</v>
      </c>
      <c r="B779" s="20" t="n">
        <f aca="false">SUMPRODUCT(固有振動数!$Q$6:$Q$22*(1-($A779/固有振動数!$O$6:$O$22)^2)/((1-($A779/固有振動数!$O$6:$O$22)^2)^2+固有振動数!$P$6:$P$22^2))</f>
        <v>14.5850937655682</v>
      </c>
      <c r="C779" s="20" t="n">
        <f aca="false">-SUMPRODUCT(固有振動数!$Q$6:$Q$22*固有振動数!$P$6:$P$22/((1-($A779/固有振動数!$O$6:$O$22)^2)^2+固有振動数!$P$6:$P$22^2))</f>
        <v>-0.027235740851039</v>
      </c>
      <c r="D779" s="20" t="n">
        <f aca="false">SQRT(B779^2+C779^2)</f>
        <v>14.5851191951247</v>
      </c>
      <c r="E779" s="32" t="n">
        <f aca="false">20*LOG10(MAX(D779,0.000000000001)/$K$3)</f>
        <v>23.2781996538289</v>
      </c>
    </row>
    <row r="780" customFormat="false" ht="15" hidden="false" customHeight="false" outlineLevel="0" collapsed="false">
      <c r="A780" s="13" t="n">
        <f aca="false">A779+$F$3</f>
        <v>30960</v>
      </c>
      <c r="B780" s="20" t="n">
        <f aca="false">SUMPRODUCT(固有振動数!$Q$6:$Q$22*(1-($A780/固有振動数!$O$6:$O$22)^2)/((1-($A780/固有振動数!$O$6:$O$22)^2)^2+固有振動数!$P$6:$P$22^2))</f>
        <v>14.9058782316247</v>
      </c>
      <c r="C780" s="20" t="n">
        <f aca="false">-SUMPRODUCT(固有振動数!$Q$6:$Q$22*固有振動数!$P$6:$P$22/((1-($A780/固有振動数!$O$6:$O$22)^2)^2+固有振動数!$P$6:$P$22^2))</f>
        <v>-0.0283004496200379</v>
      </c>
      <c r="D780" s="20" t="n">
        <f aca="false">SQRT(B780^2+C780^2)</f>
        <v>14.9059050973589</v>
      </c>
      <c r="E780" s="32" t="n">
        <f aca="false">20*LOG10(MAX(D780,0.000000000001)/$K$3)</f>
        <v>23.4671670368991</v>
      </c>
    </row>
    <row r="781" customFormat="false" ht="15" hidden="false" customHeight="false" outlineLevel="0" collapsed="false">
      <c r="A781" s="13" t="n">
        <f aca="false">A780+$F$3</f>
        <v>31000</v>
      </c>
      <c r="B781" s="20" t="n">
        <f aca="false">SUMPRODUCT(固有振動数!$Q$6:$Q$22*(1-($A781/固有振動数!$O$6:$O$22)^2)/((1-($A781/固有振動数!$O$6:$O$22)^2)^2+固有振動数!$P$6:$P$22^2))</f>
        <v>15.2396513265367</v>
      </c>
      <c r="C781" s="20" t="n">
        <f aca="false">-SUMPRODUCT(固有振動数!$Q$6:$Q$22*固有振動数!$P$6:$P$22/((1-($A781/固有振動数!$O$6:$O$22)^2)^2+固有振動数!$P$6:$P$22^2))</f>
        <v>-0.0294440382428185</v>
      </c>
      <c r="D781" s="20" t="n">
        <f aca="false">SQRT(B781^2+C781^2)</f>
        <v>15.239679770448</v>
      </c>
      <c r="E781" s="32" t="n">
        <f aca="false">20*LOG10(MAX(D781,0.000000000001)/$K$3)</f>
        <v>23.6595168264384</v>
      </c>
    </row>
    <row r="782" customFormat="false" ht="15" hidden="false" customHeight="false" outlineLevel="0" collapsed="false">
      <c r="A782" s="13" t="n">
        <f aca="false">A781+$F$3</f>
        <v>31040</v>
      </c>
      <c r="B782" s="20" t="n">
        <f aca="false">SUMPRODUCT(固有振動数!$Q$6:$Q$22*(1-($A782/固有振動数!$O$6:$O$22)^2)/((1-($A782/固有振動数!$O$6:$O$22)^2)^2+固有振動数!$P$6:$P$22^2))</f>
        <v>15.5874132484961</v>
      </c>
      <c r="C782" s="20" t="n">
        <f aca="false">-SUMPRODUCT(固有振動数!$Q$6:$Q$22*固有振動数!$P$6:$P$22/((1-($A782/固有振動数!$O$6:$O$22)^2)^2+固有振動数!$P$6:$P$22^2))</f>
        <v>-0.0306746404260601</v>
      </c>
      <c r="D782" s="20" t="n">
        <f aca="false">SQRT(B782^2+C782^2)</f>
        <v>15.5874434309464</v>
      </c>
      <c r="E782" s="32" t="n">
        <f aca="false">20*LOG10(MAX(D782,0.000000000001)/$K$3)</f>
        <v>23.8554978074579</v>
      </c>
    </row>
    <row r="783" customFormat="false" ht="15" hidden="false" customHeight="false" outlineLevel="0" collapsed="false">
      <c r="A783" s="13" t="n">
        <f aca="false">A782+$F$3</f>
        <v>31080</v>
      </c>
      <c r="B783" s="20" t="n">
        <f aca="false">SUMPRODUCT(固有振動数!$Q$6:$Q$22*(1-($A783/固有振動数!$O$6:$O$22)^2)/((1-($A783/固有振動数!$O$6:$O$22)^2)^2+固有振動数!$P$6:$P$22^2))</f>
        <v>15.9502692364901</v>
      </c>
      <c r="C783" s="20" t="n">
        <f aca="false">-SUMPRODUCT(固有振動数!$Q$6:$Q$22*固有振動数!$P$6:$P$22/((1-($A783/固有振動数!$O$6:$O$22)^2)^2+固有振動数!$P$6:$P$22^2))</f>
        <v>-0.0320014847681117</v>
      </c>
      <c r="D783" s="20" t="n">
        <f aca="false">SQRT(B783^2+C783^2)</f>
        <v>15.9503013392083</v>
      </c>
      <c r="E783" s="32" t="n">
        <f aca="false">20*LOG10(MAX(D783,0.000000000001)/$K$3)</f>
        <v>24.0553778465714</v>
      </c>
    </row>
    <row r="784" customFormat="false" ht="15" hidden="false" customHeight="false" outlineLevel="0" collapsed="false">
      <c r="A784" s="13" t="n">
        <f aca="false">A783+$F$3</f>
        <v>31120</v>
      </c>
      <c r="B784" s="20" t="n">
        <f aca="false">SUMPRODUCT(固有振動数!$Q$6:$Q$22*(1-($A784/固有振動数!$O$6:$O$22)^2)/((1-($A784/固有振動数!$O$6:$O$22)^2)^2+固有振動数!$P$6:$P$22^2))</f>
        <v>16.3294439611988</v>
      </c>
      <c r="C784" s="20" t="n">
        <f aca="false">-SUMPRODUCT(固有振動数!$Q$6:$Q$22*固有振動数!$P$6:$P$22/((1-($A784/固有振動数!$O$6:$O$22)^2)^2+固有振動数!$P$6:$P$22^2))</f>
        <v>-0.0334350772760996</v>
      </c>
      <c r="D784" s="20" t="n">
        <f aca="false">SQRT(B784^2+C784^2)</f>
        <v>16.3294781908769</v>
      </c>
      <c r="E784" s="32" t="n">
        <f aca="false">20*LOG10(MAX(D784,0.000000000001)/$K$3)</f>
        <v>24.2594461412202</v>
      </c>
    </row>
    <row r="785" customFormat="false" ht="15" hidden="false" customHeight="false" outlineLevel="0" collapsed="false">
      <c r="A785" s="13" t="n">
        <f aca="false">A784+$F$3</f>
        <v>31160</v>
      </c>
      <c r="B785" s="20" t="n">
        <f aca="false">SUMPRODUCT(固有振動数!$Q$6:$Q$22*(1-($A785/固有振動数!$O$6:$O$22)^2)/((1-($A785/固有振動数!$O$6:$O$22)^2)^2+固有振動数!$P$6:$P$22^2))</f>
        <v>16.7262983544907</v>
      </c>
      <c r="C785" s="20" t="n">
        <f aca="false">-SUMPRODUCT(固有振動数!$Q$6:$Q$22*固有振動数!$P$6:$P$22/((1-($A785/固有振動数!$O$6:$O$22)^2)^2+固有振動数!$P$6:$P$22^2))</f>
        <v>-0.0349874204740755</v>
      </c>
      <c r="D785" s="20" t="n">
        <f aca="false">SQRT(B785^2+C785^2)</f>
        <v>16.7263349471135</v>
      </c>
      <c r="E785" s="32" t="n">
        <f aca="false">20*LOG10(MAX(D785,0.000000000001)/$K$3)</f>
        <v>24.4680157868286</v>
      </c>
    </row>
    <row r="786" customFormat="false" ht="15" hidden="false" customHeight="false" outlineLevel="0" collapsed="false">
      <c r="A786" s="13" t="n">
        <f aca="false">A785+$F$3</f>
        <v>31200</v>
      </c>
      <c r="B786" s="20" t="n">
        <f aca="false">SUMPRODUCT(固有振動数!$Q$6:$Q$22*(1-($A786/固有振動数!$O$6:$O$22)^2)/((1-($A786/固有振動数!$O$6:$O$22)^2)^2+固有振動数!$P$6:$P$22^2))</f>
        <v>17.1423493744292</v>
      </c>
      <c r="C786" s="20" t="n">
        <f aca="false">-SUMPRODUCT(固有振動数!$Q$6:$Q$22*固有振動数!$P$6:$P$22/((1-($A786/固有振動数!$O$6:$O$22)^2)^2+固有振動数!$P$6:$P$22^2))</f>
        <v>-0.0366722777400802</v>
      </c>
      <c r="D786" s="20" t="n">
        <f aca="false">SQRT(B786^2+C786^2)</f>
        <v>17.1423886005115</v>
      </c>
      <c r="E786" s="32" t="n">
        <f aca="false">20*LOG10(MAX(D786,0.000000000001)/$K$3)</f>
        <v>24.6814267178419</v>
      </c>
    </row>
    <row r="787" customFormat="false" ht="15" hidden="false" customHeight="false" outlineLevel="0" collapsed="false">
      <c r="A787" s="13" t="n">
        <f aca="false">A786+$F$3</f>
        <v>31240</v>
      </c>
      <c r="B787" s="20" t="n">
        <f aca="false">SUMPRODUCT(固有振動数!$Q$6:$Q$22*(1-($A787/固有振動数!$O$6:$O$22)^2)/((1-($A787/固有振動数!$O$6:$O$22)^2)^2+固有振動数!$P$6:$P$22^2))</f>
        <v>17.5792933219409</v>
      </c>
      <c r="C787" s="20" t="n">
        <f aca="false">-SUMPRODUCT(固有振動数!$Q$6:$Q$22*固有振動数!$P$6:$P$22/((1-($A787/固有振動数!$O$6:$O$22)^2)^2+固有振動数!$P$6:$P$22^2))</f>
        <v>-0.0385054938745978</v>
      </c>
      <c r="D787" s="20" t="n">
        <f aca="false">SQRT(B787^2+C787^2)</f>
        <v>17.5793354928989</v>
      </c>
      <c r="E787" s="32" t="n">
        <f aca="false">20*LOG10(MAX(D787,0.000000000001)/$K$3)</f>
        <v>24.9000490902709</v>
      </c>
    </row>
    <row r="788" customFormat="false" ht="15" hidden="false" customHeight="false" outlineLevel="0" collapsed="false">
      <c r="A788" s="13" t="n">
        <f aca="false">A787+$F$3</f>
        <v>31280</v>
      </c>
      <c r="B788" s="20" t="n">
        <f aca="false">SUMPRODUCT(固有振動数!$Q$6:$Q$22*(1-($A788/固有振動数!$O$6:$O$22)^2)/((1-($A788/固有振動数!$O$6:$O$22)^2)^2+固有振動数!$P$6:$P$22^2))</f>
        <v>18.039033477737</v>
      </c>
      <c r="C788" s="20" t="n">
        <f aca="false">-SUMPRODUCT(固有振動数!$Q$6:$Q$22*固有振動数!$P$6:$P$22/((1-($A788/固有振動数!$O$6:$O$22)^2)^2+固有振動数!$P$6:$P$22^2))</f>
        <v>-0.0405053860093819</v>
      </c>
      <c r="D788" s="20" t="n">
        <f aca="false">SQRT(B788^2+C788^2)</f>
        <v>18.0390789536831</v>
      </c>
      <c r="E788" s="32" t="n">
        <f aca="false">20*LOG10(MAX(D788,0.000000000001)/$K$3)</f>
        <v>25.1242871879049</v>
      </c>
    </row>
    <row r="789" customFormat="false" ht="15" hidden="false" customHeight="false" outlineLevel="0" collapsed="false">
      <c r="A789" s="13" t="n">
        <f aca="false">A788+$F$3</f>
        <v>31320</v>
      </c>
      <c r="B789" s="20" t="n">
        <f aca="false">SUMPRODUCT(固有振動数!$Q$6:$Q$22*(1-($A789/固有振動数!$O$6:$O$22)^2)/((1-($A789/固有振動数!$O$6:$O$22)^2)^2+固有振動数!$P$6:$P$22^2))</f>
        <v>18.5237130242979</v>
      </c>
      <c r="C789" s="20" t="n">
        <f aca="false">-SUMPRODUCT(固有振動数!$Q$6:$Q$22*固有振動数!$P$6:$P$22/((1-($A789/固有振動数!$O$6:$O$22)^2)^2+固有振動数!$P$6:$P$22^2))</f>
        <v>-0.0426932230784004</v>
      </c>
      <c r="D789" s="20" t="n">
        <f aca="false">SQRT(B789^2+C789^2)</f>
        <v>18.523762223637</v>
      </c>
      <c r="E789" s="32" t="n">
        <f aca="false">20*LOG10(MAX(D789,0.000000000001)/$K$3)</f>
        <v>25.3545839525641</v>
      </c>
    </row>
    <row r="790" customFormat="false" ht="15" hidden="false" customHeight="false" outlineLevel="0" collapsed="false">
      <c r="A790" s="13" t="n">
        <f aca="false">A789+$F$3</f>
        <v>31360</v>
      </c>
      <c r="B790" s="20" t="n">
        <f aca="false">SUMPRODUCT(固有振動数!$Q$6:$Q$22*(1-($A790/固有振動数!$O$6:$O$22)^2)/((1-($A790/固有振動数!$O$6:$O$22)^2)^2+固有振動数!$P$6:$P$22^2))</f>
        <v>19.0357544721821</v>
      </c>
      <c r="C790" s="20" t="n">
        <f aca="false">-SUMPRODUCT(固有振動数!$Q$6:$Q$22*固有振動数!$P$6:$P$22/((1-($A790/固有振動数!$O$6:$O$22)^2)^2+固有振動数!$P$6:$P$22^2))</f>
        <v>-0.0450938175622503</v>
      </c>
      <c r="D790" s="20" t="n">
        <f aca="false">SQRT(B790^2+C790^2)</f>
        <v>19.0358078835017</v>
      </c>
      <c r="E790" s="32" t="n">
        <f aca="false">20*LOG10(MAX(D790,0.000000000001)/$K$3)</f>
        <v>25.5914262617274</v>
      </c>
    </row>
    <row r="791" customFormat="false" ht="15" hidden="false" customHeight="false" outlineLevel="0" collapsed="false">
      <c r="A791" s="13" t="n">
        <f aca="false">A790+$F$3</f>
        <v>31400</v>
      </c>
      <c r="B791" s="20" t="n">
        <f aca="false">SUMPRODUCT(固有振動数!$Q$6:$Q$22*(1-($A791/固有振動数!$O$6:$O$22)^2)/((1-($A791/固有振動数!$O$6:$O$22)^2)^2+固有振動数!$P$6:$P$22^2))</f>
        <v>19.5779071424456</v>
      </c>
      <c r="C791" s="20" t="n">
        <f aca="false">-SUMPRODUCT(固有振動数!$Q$6:$Q$22*固有振動数!$P$6:$P$22/((1-($A791/固有振動数!$O$6:$O$22)^2)^2+固有振動数!$P$6:$P$22^2))</f>
        <v>-0.0477362606084204</v>
      </c>
      <c r="D791" s="20" t="n">
        <f aca="false">SQRT(B791^2+C791^2)</f>
        <v>19.5779653393502</v>
      </c>
      <c r="E791" s="32" t="n">
        <f aca="false">20*LOG10(MAX(D791,0.000000000001)/$K$3)</f>
        <v>25.8353511060249</v>
      </c>
    </row>
    <row r="792" customFormat="false" ht="15" hidden="false" customHeight="false" outlineLevel="0" collapsed="false">
      <c r="A792" s="13" t="n">
        <f aca="false">A791+$F$3</f>
        <v>31440</v>
      </c>
      <c r="B792" s="20" t="n">
        <f aca="false">SUMPRODUCT(固有振動数!$Q$6:$Q$22*(1-($A792/固有振動数!$O$6:$O$22)^2)/((1-($A792/固有振動数!$O$6:$O$22)^2)^2+固有振動数!$P$6:$P$22^2))</f>
        <v>20.1533046951149</v>
      </c>
      <c r="C792" s="20" t="n">
        <f aca="false">-SUMPRODUCT(固有振動数!$Q$6:$Q$22*固有振動数!$P$6:$P$22/((1-($A792/固有振動数!$O$6:$O$22)^2)^2+固有振動数!$P$6:$P$22^2))</f>
        <v>-0.0506548416726913</v>
      </c>
      <c r="D792" s="20" t="n">
        <f aca="false">SQRT(B792^2+C792^2)</f>
        <v>20.1533683548713</v>
      </c>
      <c r="E792" s="32" t="n">
        <f aca="false">20*LOG10(MAX(D792,0.000000000001)/$K$3)</f>
        <v>26.0869528563701</v>
      </c>
    </row>
    <row r="793" customFormat="false" ht="15" hidden="false" customHeight="false" outlineLevel="0" collapsed="false">
      <c r="A793" s="13" t="n">
        <f aca="false">A792+$F$3</f>
        <v>31480</v>
      </c>
      <c r="B793" s="20" t="n">
        <f aca="false">SUMPRODUCT(固有振動数!$Q$6:$Q$22*(1-($A793/固有振動数!$O$6:$O$22)^2)/((1-($A793/固有振動数!$O$6:$O$22)^2)^2+固有振動数!$P$6:$P$22^2))</f>
        <v>20.7655352761096</v>
      </c>
      <c r="C793" s="20" t="n">
        <f aca="false">-SUMPRODUCT(固有振動数!$Q$6:$Q$22*固有振動数!$P$6:$P$22/((1-($A793/固有振動数!$O$6:$O$22)^2)^2+固有振動数!$P$6:$P$22^2))</f>
        <v>-0.0538902076073646</v>
      </c>
      <c r="D793" s="20" t="n">
        <f aca="false">SQRT(B793^2+C793^2)</f>
        <v>20.765605203264</v>
      </c>
      <c r="E793" s="32" t="n">
        <f aca="false">20*LOG10(MAX(D793,0.000000000001)/$K$3)</f>
        <v>26.3468918585523</v>
      </c>
    </row>
    <row r="794" customFormat="false" ht="15" hidden="false" customHeight="false" outlineLevel="0" collapsed="false">
      <c r="A794" s="13" t="n">
        <f aca="false">A793+$F$3</f>
        <v>31520</v>
      </c>
      <c r="B794" s="20" t="n">
        <f aca="false">SUMPRODUCT(固有振動数!$Q$6:$Q$22*(1-($A794/固有振動数!$O$6:$O$22)^2)/((1-($A794/固有振動数!$O$6:$O$22)^2)^2+固有振動数!$P$6:$P$22^2))</f>
        <v>21.4187276365444</v>
      </c>
      <c r="C794" s="20" t="n">
        <f aca="false">-SUMPRODUCT(固有振動数!$Q$6:$Q$22*固有振動数!$P$6:$P$22/((1-($A794/固有振動数!$O$6:$O$22)^2)^2+固有振動数!$P$6:$P$22^2))</f>
        <v>-0.0574908352290441</v>
      </c>
      <c r="D794" s="20" t="n">
        <f aca="false">SQRT(B794^2+C794^2)</f>
        <v>21.4188047930925</v>
      </c>
      <c r="E794" s="32" t="n">
        <f aca="false">20*LOG10(MAX(D794,0.000000000001)/$K$3)</f>
        <v>26.6159046555499</v>
      </c>
    </row>
    <row r="795" customFormat="false" ht="15" hidden="false" customHeight="false" outlineLevel="0" collapsed="false">
      <c r="A795" s="13" t="n">
        <f aca="false">A794+$F$3</f>
        <v>31560</v>
      </c>
      <c r="B795" s="20" t="n">
        <f aca="false">SUMPRODUCT(固有振動数!$Q$6:$Q$22*(1-($A795/固有振動数!$O$6:$O$22)^2)/((1-($A795/固有振動数!$O$6:$O$22)^2)^2+固有振動数!$P$6:$P$22^2))</f>
        <v>22.1176576375705</v>
      </c>
      <c r="C795" s="20" t="n">
        <f aca="false">-SUMPRODUCT(固有振動数!$Q$6:$Q$22*固有振動数!$P$6:$P$22/((1-($A795/固有振動数!$O$6:$O$22)^2)^2+固有振動数!$P$6:$P$22^2))</f>
        <v>-0.0615149181881808</v>
      </c>
      <c r="D795" s="20" t="n">
        <f aca="false">SQRT(B795^2+C795^2)</f>
        <v>22.1177431818425</v>
      </c>
      <c r="E795" s="32" t="n">
        <f aca="false">20*LOG10(MAX(D795,0.000000000001)/$K$3)</f>
        <v>26.894816219674</v>
      </c>
    </row>
    <row r="796" customFormat="false" ht="15" hidden="false" customHeight="false" outlineLevel="0" collapsed="false">
      <c r="A796" s="13" t="n">
        <f aca="false">A795+$F$3</f>
        <v>31600</v>
      </c>
      <c r="B796" s="20" t="n">
        <f aca="false">SUMPRODUCT(固有振動数!$Q$6:$Q$22*(1-($A796/固有振動数!$O$6:$O$22)^2)/((1-($A796/固有振動数!$O$6:$O$22)^2)^2+固有振動数!$P$6:$P$22^2))</f>
        <v>22.8678810049609</v>
      </c>
      <c r="C796" s="20" t="n">
        <f aca="false">-SUMPRODUCT(固有振動数!$Q$6:$Q$22*固有振動数!$P$6:$P$22/((1-($A796/固有振動数!$O$6:$O$22)^2)^2+固有振動数!$P$6:$P$22^2))</f>
        <v>-0.0660328069746138</v>
      </c>
      <c r="D796" s="20" t="n">
        <f aca="false">SQRT(B796^2+C796^2)</f>
        <v>22.8679763422269</v>
      </c>
      <c r="E796" s="32" t="n">
        <f aca="false">20*LOG10(MAX(D796,0.000000000001)/$K$3)</f>
        <v>27.1845546849731</v>
      </c>
    </row>
    <row r="797" customFormat="false" ht="15" hidden="false" customHeight="false" outlineLevel="0" collapsed="false">
      <c r="A797" s="13" t="n">
        <f aca="false">A796+$F$3</f>
        <v>31640</v>
      </c>
      <c r="B797" s="20" t="n">
        <f aca="false">SUMPRODUCT(固有振動数!$Q$6:$Q$22*(1-($A797/固有振動数!$O$6:$O$22)^2)/((1-($A797/固有振動数!$O$6:$O$22)^2)^2+固有振動数!$P$6:$P$22^2))</f>
        <v>23.6759002084682</v>
      </c>
      <c r="C797" s="20" t="n">
        <f aca="false">-SUMPRODUCT(固有振動数!$Q$6:$Q$22*固有振動数!$P$6:$P$22/((1-($A797/固有振動数!$O$6:$O$22)^2)^2+固有振動数!$P$6:$P$22^2))</f>
        <v>-0.071130195525082</v>
      </c>
      <c r="D797" s="20" t="n">
        <f aca="false">SQRT(B797^2+C797^2)</f>
        <v>23.6760070574846</v>
      </c>
      <c r="E797" s="32" t="n">
        <f aca="false">20*LOG10(MAX(D797,0.000000000001)/$K$3)</f>
        <v>27.4861692151382</v>
      </c>
    </row>
    <row r="798" customFormat="false" ht="15" hidden="false" customHeight="false" outlineLevel="0" collapsed="false">
      <c r="A798" s="13" t="n">
        <f aca="false">A797+$F$3</f>
        <v>31680</v>
      </c>
      <c r="B798" s="20" t="n">
        <f aca="false">SUMPRODUCT(固有振動数!$Q$6:$Q$22*(1-($A798/固有振動数!$O$6:$O$22)^2)/((1-($A798/固有振動数!$O$6:$O$22)^2)^2+固有振動数!$P$6:$P$22^2))</f>
        <v>24.5493761622596</v>
      </c>
      <c r="C798" s="20" t="n">
        <f aca="false">-SUMPRODUCT(固有振動数!$Q$6:$Q$22*固有振動数!$P$6:$P$22/((1-($A798/固有振動数!$O$6:$O$22)^2)^2+固有振動数!$P$6:$P$22^2))</f>
        <v>-0.0769123275082547</v>
      </c>
      <c r="D798" s="20" t="n">
        <f aca="false">SQRT(B798^2+C798^2)</f>
        <v>24.5494966437653</v>
      </c>
      <c r="E798" s="32" t="n">
        <f aca="false">20*LOG10(MAX(D798,0.000000000001)/$K$3)</f>
        <v>27.8008518378752</v>
      </c>
    </row>
    <row r="799" customFormat="false" ht="15" hidden="false" customHeight="false" outlineLevel="0" collapsed="false">
      <c r="A799" s="13" t="n">
        <f aca="false">A798+$F$3</f>
        <v>31720</v>
      </c>
      <c r="B799" s="20" t="n">
        <f aca="false">SUMPRODUCT(固有振動数!$Q$6:$Q$22*(1-($A799/固有振動数!$O$6:$O$22)^2)/((1-($A799/固有振動数!$O$6:$O$22)^2)^2+固有振動数!$P$6:$P$22^2))</f>
        <v>25.4973994544259</v>
      </c>
      <c r="C799" s="20" t="n">
        <f aca="false">-SUMPRODUCT(固有振動数!$Q$6:$Q$22*固有振動数!$P$6:$P$22/((1-($A799/固有振動数!$O$6:$O$22)^2)^2+固有振動数!$P$6:$P$22^2))</f>
        <v>-0.0835096131127845</v>
      </c>
      <c r="D799" s="20" t="n">
        <f aca="false">SQRT(B799^2+C799^2)</f>
        <v>25.4975362102702</v>
      </c>
      <c r="E799" s="32" t="n">
        <f aca="false">20*LOG10(MAX(D799,0.000000000001)/$K$3)</f>
        <v>28.1299643443816</v>
      </c>
    </row>
    <row r="800" customFormat="false" ht="15" hidden="false" customHeight="false" outlineLevel="0" collapsed="false">
      <c r="A800" s="13" t="n">
        <f aca="false">A799+$F$3</f>
        <v>31760</v>
      </c>
      <c r="B800" s="20" t="n">
        <f aca="false">SUMPRODUCT(固有振動数!$Q$6:$Q$22*(1-($A800/固有振動数!$O$6:$O$22)^2)/((1-($A800/固有振動数!$O$6:$O$22)^2)^2+固有振動数!$P$6:$P$22^2))</f>
        <v>26.5308416012221</v>
      </c>
      <c r="C800" s="20" t="n">
        <f aca="false">-SUMPRODUCT(固有振動数!$Q$6:$Q$22*固有振動数!$P$6:$P$22/((1-($A800/固有振動数!$O$6:$O$22)^2)^2+固有振動数!$P$6:$P$22^2))</f>
        <v>-0.0910852241633963</v>
      </c>
      <c r="D800" s="20" t="n">
        <f aca="false">SQRT(B800^2+C800^2)</f>
        <v>26.5309979568654</v>
      </c>
      <c r="E800" s="32" t="n">
        <f aca="false">20*LOG10(MAX(D800,0.000000000001)/$K$3)</f>
        <v>28.475071723362</v>
      </c>
    </row>
    <row r="801" customFormat="false" ht="15" hidden="false" customHeight="false" outlineLevel="0" collapsed="false">
      <c r="A801" s="13" t="n">
        <f aca="false">A800+$F$3</f>
        <v>31800</v>
      </c>
      <c r="B801" s="20" t="n">
        <f aca="false">SUMPRODUCT(固有振動数!$Q$6:$Q$22*(1-($A801/固有振動数!$O$6:$O$22)^2)/((1-($A801/固有振動数!$O$6:$O$22)^2)^2+固有振動数!$P$6:$P$22^2))</f>
        <v>27.6628153040641</v>
      </c>
      <c r="C801" s="20" t="n">
        <f aca="false">-SUMPRODUCT(固有振動数!$Q$6:$Q$22*固有振動数!$P$6:$P$22/((1-($A801/固有振動数!$O$6:$O$22)^2)^2+固有振動数!$P$6:$P$22^2))</f>
        <v>-0.0998455061663756</v>
      </c>
      <c r="D801" s="20" t="n">
        <f aca="false">SQRT(B801^2+C801^2)</f>
        <v>27.6629954934722</v>
      </c>
      <c r="E801" s="32" t="n">
        <f aca="false">20*LOG10(MAX(D801,0.000000000001)/$K$3)</f>
        <v>28.8379841198386</v>
      </c>
    </row>
    <row r="802" customFormat="false" ht="15" hidden="false" customHeight="false" outlineLevel="0" collapsed="false">
      <c r="A802" s="13" t="n">
        <f aca="false">A801+$F$3</f>
        <v>31840</v>
      </c>
      <c r="B802" s="20" t="n">
        <f aca="false">SUMPRODUCT(固有振動数!$Q$6:$Q$22*(1-($A802/固有振動数!$O$6:$O$22)^2)/((1-($A802/固有振動数!$O$6:$O$22)^2)^2+固有振動数!$P$6:$P$22^2))</f>
        <v>28.9092853344896</v>
      </c>
      <c r="C802" s="20" t="n">
        <f aca="false">-SUMPRODUCT(固有振動数!$Q$6:$Q$22*固有振動数!$P$6:$P$22/((1-($A802/固有振動数!$O$6:$O$22)^2)^2+固有振動数!$P$6:$P$22^2))</f>
        <v>-0.110054468139694</v>
      </c>
      <c r="D802" s="20" t="n">
        <f aca="false">SQRT(B802^2+C802^2)</f>
        <v>28.9094948163556</v>
      </c>
      <c r="E802" s="32" t="n">
        <f aca="false">20*LOG10(MAX(D802,0.000000000001)/$K$3)</f>
        <v>29.2208100517556</v>
      </c>
    </row>
    <row r="803" customFormat="false" ht="15" hidden="false" customHeight="false" outlineLevel="0" collapsed="false">
      <c r="A803" s="13" t="n">
        <f aca="false">A802+$F$3</f>
        <v>31880</v>
      </c>
      <c r="B803" s="20" t="n">
        <f aca="false">SUMPRODUCT(固有振動数!$Q$6:$Q$22*(1-($A803/固有振動数!$O$6:$O$22)^2)/((1-($A803/固有振動数!$O$6:$O$22)^2)^2+固有振動数!$P$6:$P$22^2))</f>
        <v>30.2898908874513</v>
      </c>
      <c r="C803" s="20" t="n">
        <f aca="false">-SUMPRODUCT(固有振動数!$Q$6:$Q$22*固有振動数!$P$6:$P$22/((1-($A803/固有振動数!$O$6:$O$22)^2)^2+固有振動数!$P$6:$P$22^2))</f>
        <v>-0.122054283531244</v>
      </c>
      <c r="D803" s="20" t="n">
        <f aca="false">SQRT(B803^2+C803^2)</f>
        <v>30.2901367976745</v>
      </c>
      <c r="E803" s="32" t="n">
        <f aca="false">20*LOG10(MAX(D803,0.000000000001)/$K$3)</f>
        <v>29.6260246943501</v>
      </c>
    </row>
    <row r="804" customFormat="false" ht="15" hidden="false" customHeight="false" outlineLevel="0" collapsed="false">
      <c r="A804" s="13" t="n">
        <f aca="false">A803+$F$3</f>
        <v>31920</v>
      </c>
      <c r="B804" s="20" t="n">
        <f aca="false">SUMPRODUCT(固有振動数!$Q$6:$Q$22*(1-($A804/固有振動数!$O$6:$O$22)^2)/((1-($A804/固有振動数!$O$6:$O$22)^2)^2+固有振動数!$P$6:$P$22^2))</f>
        <v>31.8290700483544</v>
      </c>
      <c r="C804" s="20" t="n">
        <f aca="false">-SUMPRODUCT(固有振動数!$Q$6:$Q$22*固有振動数!$P$6:$P$22/((1-($A804/固有振動数!$O$6:$O$22)^2)^2+固有振動数!$P$6:$P$22^2))</f>
        <v>-0.136294831470104</v>
      </c>
      <c r="D804" s="20" t="n">
        <f aca="false">SQRT(B804^2+C804^2)</f>
        <v>31.8293618601463</v>
      </c>
      <c r="E804" s="32" t="n">
        <f aca="false">20*LOG10(MAX(D804,0.000000000001)/$K$3)</f>
        <v>30.0565586326806</v>
      </c>
    </row>
    <row r="805" customFormat="false" ht="15" hidden="false" customHeight="false" outlineLevel="0" collapsed="false">
      <c r="A805" s="13" t="n">
        <f aca="false">A804+$F$3</f>
        <v>31960</v>
      </c>
      <c r="B805" s="20" t="n">
        <f aca="false">SUMPRODUCT(固有振動数!$Q$6:$Q$22*(1-($A805/固有振動数!$O$6:$O$22)^2)/((1-($A805/固有振動数!$O$6:$O$22)^2)^2+固有振動数!$P$6:$P$22^2))</f>
        <v>33.5576243217896</v>
      </c>
      <c r="C805" s="20" t="n">
        <f aca="false">-SUMPRODUCT(固有振動数!$Q$6:$Q$22*固有振動数!$P$6:$P$22/((1-($A805/固有振動数!$O$6:$O$22)^2)^2+固有振動数!$P$6:$P$22^2))</f>
        <v>-0.153377140035147</v>
      </c>
      <c r="D805" s="20" t="n">
        <f aca="false">SQRT(B805^2+C805^2)</f>
        <v>33.5579748296802</v>
      </c>
      <c r="E805" s="32" t="n">
        <f aca="false">20*LOG10(MAX(D805,0.000000000001)/$K$3)</f>
        <v>30.5159148793471</v>
      </c>
    </row>
    <row r="806" customFormat="false" ht="15" hidden="false" customHeight="false" outlineLevel="0" collapsed="false">
      <c r="A806" s="13" t="n">
        <f aca="false">A805+$F$3</f>
        <v>32000</v>
      </c>
      <c r="B806" s="20" t="n">
        <f aca="false">SUMPRODUCT(固有振動数!$Q$6:$Q$22*(1-($A806/固有振動数!$O$6:$O$22)^2)/((1-($A806/固有振動数!$O$6:$O$22)^2)^2+固有振動数!$P$6:$P$22^2))</f>
        <v>35.5149381795316</v>
      </c>
      <c r="C806" s="20" t="n">
        <f aca="false">-SUMPRODUCT(固有振動数!$Q$6:$Q$22*固有振動数!$P$6:$P$22/((1-($A806/固有振動数!$O$6:$O$22)^2)^2+固有振動数!$P$6:$P$22^2))</f>
        <v>-0.174118745621529</v>
      </c>
      <c r="D806" s="20" t="n">
        <f aca="false">SQRT(B806^2+C806^2)</f>
        <v>35.5153650021161</v>
      </c>
      <c r="E806" s="32" t="n">
        <f aca="false">20*LOG10(MAX(D806,0.000000000001)/$K$3)</f>
        <v>31.0083256481273</v>
      </c>
    </row>
    <row r="807" customFormat="false" ht="15" hidden="false" customHeight="false" outlineLevel="0" collapsed="false">
      <c r="A807" s="13" t="n">
        <f aca="false">A806+$F$3</f>
        <v>32040</v>
      </c>
      <c r="B807" s="20" t="n">
        <f aca="false">SUMPRODUCT(固有振動数!$Q$6:$Q$22*(1-($A807/固有振動数!$O$6:$O$22)^2)/((1-($A807/固有振動数!$O$6:$O$22)^2)^2+固有振動数!$P$6:$P$22^2))</f>
        <v>37.7521975860268</v>
      </c>
      <c r="C807" s="20" t="n">
        <f aca="false">-SUMPRODUCT(固有振動数!$Q$6:$Q$22*固有振動数!$P$6:$P$22/((1-($A807/固有振動数!$O$6:$O$22)^2)^2+固有振動数!$P$6:$P$22^2))</f>
        <v>-0.199654581435837</v>
      </c>
      <c r="D807" s="20" t="n">
        <f aca="false">SQRT(B807^2+C807^2)</f>
        <v>37.7527255244743</v>
      </c>
      <c r="E807" s="32" t="n">
        <f aca="false">20*LOG10(MAX(D807,0.000000000001)/$K$3)</f>
        <v>31.5389662120252</v>
      </c>
    </row>
    <row r="808" customFormat="false" ht="15" hidden="false" customHeight="false" outlineLevel="0" collapsed="false">
      <c r="A808" s="13" t="n">
        <f aca="false">A807+$F$3</f>
        <v>32080</v>
      </c>
      <c r="B808" s="20" t="n">
        <f aca="false">SUMPRODUCT(固有振動数!$Q$6:$Q$22*(1-($A808/固有振動数!$O$6:$O$22)^2)/((1-($A808/固有振動数!$O$6:$O$22)^2)^2+固有振動数!$P$6:$P$22^2))</f>
        <v>40.337174612708</v>
      </c>
      <c r="C808" s="20" t="n">
        <f aca="false">-SUMPRODUCT(固有振動数!$Q$6:$Q$22*固有振動数!$P$6:$P$22/((1-($A808/固有振動数!$O$6:$O$22)^2)^2+固有振動数!$P$6:$P$22^2))</f>
        <v>-0.231597316879396</v>
      </c>
      <c r="D808" s="20" t="n">
        <f aca="false">SQRT(B808^2+C808^2)</f>
        <v>40.3378394693281</v>
      </c>
      <c r="E808" s="32" t="n">
        <f aca="false">20*LOG10(MAX(D808,0.000000000001)/$K$3)</f>
        <v>32.1142526659947</v>
      </c>
    </row>
    <row r="809" customFormat="false" ht="15" hidden="false" customHeight="false" outlineLevel="0" collapsed="false">
      <c r="A809" s="13" t="n">
        <f aca="false">A808+$F$3</f>
        <v>32120</v>
      </c>
      <c r="B809" s="20" t="n">
        <f aca="false">SUMPRODUCT(固有振動数!$Q$6:$Q$22*(1-($A809/固有振動数!$O$6:$O$22)^2)/((1-($A809/固有振動数!$O$6:$O$22)^2)^2+固有振動数!$P$6:$P$22^2))</f>
        <v>43.3615456457428</v>
      </c>
      <c r="C809" s="20" t="n">
        <f aca="false">-SUMPRODUCT(固有振動数!$Q$6:$Q$22*固有振動数!$P$6:$P$22/((1-($A809/固有振動数!$O$6:$O$22)^2)^2+固有振動数!$P$6:$P$22^2))</f>
        <v>-0.272300843417991</v>
      </c>
      <c r="D809" s="20" t="n">
        <f aca="false">SQRT(B809^2+C809^2)</f>
        <v>43.3624006316205</v>
      </c>
      <c r="E809" s="32" t="n">
        <f aca="false">20*LOG10(MAX(D809,0.000000000001)/$K$3)</f>
        <v>32.7422663526203</v>
      </c>
    </row>
    <row r="810" customFormat="false" ht="15" hidden="false" customHeight="false" outlineLevel="0" collapsed="false">
      <c r="A810" s="13" t="n">
        <f aca="false">A809+$F$3</f>
        <v>32160</v>
      </c>
      <c r="B810" s="20" t="n">
        <f aca="false">SUMPRODUCT(固有振動数!$Q$6:$Q$22*(1-($A810/固有振動数!$O$6:$O$22)^2)/((1-($A810/固有振動数!$O$6:$O$22)^2)^2+固有振動数!$P$6:$P$22^2))</f>
        <v>46.9524598694671</v>
      </c>
      <c r="C810" s="20" t="n">
        <f aca="false">-SUMPRODUCT(固有振動数!$Q$6:$Q$22*固有振動数!$P$6:$P$22/((1-($A810/固有振動数!$O$6:$O$22)^2)^2+固有振動数!$P$6:$P$22^2))</f>
        <v>-0.32531035954219</v>
      </c>
      <c r="D810" s="20" t="n">
        <f aca="false">SQRT(B810^2+C810^2)</f>
        <v>46.9535868131919</v>
      </c>
      <c r="E810" s="32" t="n">
        <f aca="false">20*LOG10(MAX(D810,0.000000000001)/$K$3)</f>
        <v>33.433375477805</v>
      </c>
    </row>
    <row r="811" customFormat="false" ht="15" hidden="false" customHeight="false" outlineLevel="0" collapsed="false">
      <c r="A811" s="13" t="n">
        <f aca="false">A810+$F$3</f>
        <v>32200</v>
      </c>
      <c r="B811" s="20" t="n">
        <f aca="false">SUMPRODUCT(固有振動数!$Q$6:$Q$22*(1-($A811/固有振動数!$O$6:$O$22)^2)/((1-($A811/固有振動数!$O$6:$O$22)^2)^2+固有振動数!$P$6:$P$22^2))</f>
        <v>51.2915464039246</v>
      </c>
      <c r="C811" s="20" t="n">
        <f aca="false">-SUMPRODUCT(固有振動数!$Q$6:$Q$22*固有振動数!$P$6:$P$22/((1-($A811/固有振動数!$O$6:$O$22)^2)^2+固有振動数!$P$6:$P$22^2))</f>
        <v>-0.396166935580465</v>
      </c>
      <c r="D811" s="20" t="n">
        <f aca="false">SQRT(B811^2+C811^2)</f>
        <v>51.2930763431752</v>
      </c>
      <c r="E811" s="32" t="n">
        <f aca="false">20*LOG10(MAX(D811,0.000000000001)/$K$3)</f>
        <v>34.2011749400983</v>
      </c>
    </row>
    <row r="812" customFormat="false" ht="15" hidden="false" customHeight="false" outlineLevel="0" collapsed="false">
      <c r="A812" s="13" t="n">
        <f aca="false">A811+$F$3</f>
        <v>32240</v>
      </c>
      <c r="B812" s="20" t="n">
        <f aca="false">SUMPRODUCT(固有振動数!$Q$6:$Q$22*(1-($A812/固有振動数!$O$6:$O$22)^2)/((1-($A812/固有振動数!$O$6:$O$22)^2)^2+固有振動数!$P$6:$P$22^2))</f>
        <v>56.6476097594051</v>
      </c>
      <c r="C812" s="20" t="n">
        <f aca="false">-SUMPRODUCT(固有振動数!$Q$6:$Q$22*固有振動数!$P$6:$P$22/((1-($A812/固有振動数!$O$6:$O$22)^2)^2+固有振動数!$P$6:$P$22^2))</f>
        <v>-0.49392566366818</v>
      </c>
      <c r="D812" s="20" t="n">
        <f aca="false">SQRT(B812^2+C812^2)</f>
        <v>56.6497630534769</v>
      </c>
      <c r="E812" s="32" t="n">
        <f aca="false">20*LOG10(MAX(D812,0.000000000001)/$K$3)</f>
        <v>35.063961953968</v>
      </c>
    </row>
    <row r="813" customFormat="false" ht="15" hidden="false" customHeight="false" outlineLevel="0" collapsed="false">
      <c r="A813" s="13" t="n">
        <f aca="false">A812+$F$3</f>
        <v>32280</v>
      </c>
      <c r="B813" s="20" t="n">
        <f aca="false">SUMPRODUCT(固有振動数!$Q$6:$Q$22*(1-($A813/固有振動数!$O$6:$O$22)^2)/((1-($A813/固有振動数!$O$6:$O$22)^2)^2+固有振動数!$P$6:$P$22^2))</f>
        <v>63.4360817377897</v>
      </c>
      <c r="C813" s="20" t="n">
        <f aca="false">-SUMPRODUCT(固有振動数!$Q$6:$Q$22*固有振動数!$P$6:$P$22/((1-($A813/固有振動数!$O$6:$O$22)^2)^2+固有振動数!$P$6:$P$22^2))</f>
        <v>-0.63421436622348</v>
      </c>
      <c r="D813" s="20" t="n">
        <f aca="false">SQRT(B813^2+C813^2)</f>
        <v>63.4392519983161</v>
      </c>
      <c r="E813" s="32" t="n">
        <f aca="false">20*LOG10(MAX(D813,0.000000000001)/$K$3)</f>
        <v>36.0471610729126</v>
      </c>
    </row>
    <row r="814" customFormat="false" ht="15" hidden="false" customHeight="false" outlineLevel="0" collapsed="false">
      <c r="A814" s="13" t="n">
        <f aca="false">A813+$F$3</f>
        <v>32320</v>
      </c>
      <c r="B814" s="20" t="n">
        <f aca="false">SUMPRODUCT(固有振動数!$Q$6:$Q$22*(1-($A814/固有振動数!$O$6:$O$22)^2)/((1-($A814/固有振動数!$O$6:$O$22)^2)^2+固有振動数!$P$6:$P$22^2))</f>
        <v>72.3348052428181</v>
      </c>
      <c r="C814" s="20" t="n">
        <f aca="false">-SUMPRODUCT(固有振動数!$Q$6:$Q$22*固有振動数!$P$6:$P$22/((1-($A814/固有振動数!$O$6:$O$22)^2)^2+固有振動数!$P$6:$P$22^2))</f>
        <v>-0.84591793198379</v>
      </c>
      <c r="D814" s="20" t="n">
        <f aca="false">SQRT(B814^2+C814^2)</f>
        <v>72.3397513588765</v>
      </c>
      <c r="E814" s="32" t="n">
        <f aca="false">20*LOG10(MAX(D814,0.000000000001)/$K$3)</f>
        <v>37.1875402340322</v>
      </c>
    </row>
    <row r="815" customFormat="false" ht="15" hidden="false" customHeight="false" outlineLevel="0" collapsed="false">
      <c r="A815" s="13" t="n">
        <f aca="false">A814+$F$3</f>
        <v>32360</v>
      </c>
      <c r="B815" s="20" t="n">
        <f aca="false">SUMPRODUCT(固有振動数!$Q$6:$Q$22*(1-($A815/固有振動数!$O$6:$O$22)^2)/((1-($A815/固有振動数!$O$6:$O$22)^2)^2+固有振動数!$P$6:$P$22^2))</f>
        <v>84.5300828187773</v>
      </c>
      <c r="C815" s="20" t="n">
        <f aca="false">-SUMPRODUCT(固有振動数!$Q$6:$Q$22*固有振動数!$P$6:$P$22/((1-($A815/固有振動数!$O$6:$O$22)^2)^2+固有振動数!$P$6:$P$22^2))</f>
        <v>-1.18738272257586</v>
      </c>
      <c r="D815" s="20" t="n">
        <f aca="false">SQRT(B815^2+C815^2)</f>
        <v>84.5384219102724</v>
      </c>
      <c r="E815" s="32" t="n">
        <f aca="false">20*LOG10(MAX(D815,0.000000000001)/$K$3)</f>
        <v>38.5410827307407</v>
      </c>
    </row>
    <row r="816" customFormat="false" ht="15" hidden="false" customHeight="false" outlineLevel="0" collapsed="false">
      <c r="A816" s="13" t="n">
        <f aca="false">A815+$F$3</f>
        <v>32400</v>
      </c>
      <c r="B816" s="20" t="n">
        <f aca="false">SUMPRODUCT(固有振動数!$Q$6:$Q$22*(1-($A816/固有振動数!$O$6:$O$22)^2)/((1-($A816/固有振動数!$O$6:$O$22)^2)^2+固有振動数!$P$6:$P$22^2))</f>
        <v>102.303359155092</v>
      </c>
      <c r="C816" s="20" t="n">
        <f aca="false">-SUMPRODUCT(固有振動数!$Q$6:$Q$22*固有振動数!$P$6:$P$22/((1-($A816/固有振動数!$O$6:$O$22)^2)^2+固有振動数!$P$6:$P$22^2))</f>
        <v>-1.79150102884747</v>
      </c>
      <c r="D816" s="20" t="n">
        <f aca="false">SQRT(B816^2+C816^2)</f>
        <v>102.319044025793</v>
      </c>
      <c r="E816" s="32" t="n">
        <f aca="false">20*LOG10(MAX(D816,0.000000000001)/$K$3)</f>
        <v>40.1991294768978</v>
      </c>
    </row>
    <row r="817" customFormat="false" ht="15" hidden="false" customHeight="false" outlineLevel="0" collapsed="false">
      <c r="A817" s="13" t="n">
        <f aca="false">A816+$F$3</f>
        <v>32440</v>
      </c>
      <c r="B817" s="20" t="n">
        <f aca="false">SUMPRODUCT(固有振動数!$Q$6:$Q$22*(1-($A817/固有振動数!$O$6:$O$22)^2)/((1-($A817/固有振動数!$O$6:$O$22)^2)^2+固有振動数!$P$6:$P$22^2))</f>
        <v>130.673306229158</v>
      </c>
      <c r="C817" s="20" t="n">
        <f aca="false">-SUMPRODUCT(固有振動数!$Q$6:$Q$22*固有振動数!$P$6:$P$22/((1-($A817/固有振動数!$O$6:$O$22)^2)^2+固有振動数!$P$6:$P$22^2))</f>
        <v>-3.01793306675904</v>
      </c>
      <c r="D817" s="20" t="n">
        <f aca="false">SQRT(B817^2+C817^2)</f>
        <v>130.708151547081</v>
      </c>
      <c r="E817" s="32" t="n">
        <f aca="false">20*LOG10(MAX(D817,0.000000000001)/$K$3)</f>
        <v>42.3260534595717</v>
      </c>
    </row>
    <row r="818" customFormat="false" ht="15" hidden="false" customHeight="false" outlineLevel="0" collapsed="false">
      <c r="A818" s="13" t="n">
        <f aca="false">A817+$F$3</f>
        <v>32480</v>
      </c>
      <c r="B818" s="20" t="n">
        <f aca="false">SUMPRODUCT(固有振動数!$Q$6:$Q$22*(1-($A818/固有振動数!$O$6:$O$22)^2)/((1-($A818/固有振動数!$O$6:$O$22)^2)^2+固有振動数!$P$6:$P$22^2))</f>
        <v>183.252932901359</v>
      </c>
      <c r="C818" s="20" t="n">
        <f aca="false">-SUMPRODUCT(固有振動数!$Q$6:$Q$22*固有振動数!$P$6:$P$22/((1-($A818/固有振動数!$O$6:$O$22)^2)^2+固有振動数!$P$6:$P$22^2))</f>
        <v>-6.14531631739567</v>
      </c>
      <c r="D818" s="20" t="n">
        <f aca="false">SQRT(B818^2+C818^2)</f>
        <v>183.355944353028</v>
      </c>
      <c r="E818" s="32" t="n">
        <f aca="false">20*LOG10(MAX(D818,0.000000000001)/$K$3)</f>
        <v>45.2658998848275</v>
      </c>
    </row>
    <row r="819" customFormat="false" ht="15" hidden="false" customHeight="false" outlineLevel="0" collapsed="false">
      <c r="A819" s="13" t="n">
        <f aca="false">A818+$F$3</f>
        <v>32520</v>
      </c>
      <c r="B819" s="20" t="n">
        <f aca="false">SUMPRODUCT(固有振動数!$Q$6:$Q$22*(1-($A819/固有振動数!$O$6:$O$22)^2)/((1-($A819/固有振動数!$O$6:$O$22)^2)^2+固有振動数!$P$6:$P$22^2))</f>
        <v>314.297980155117</v>
      </c>
      <c r="C819" s="20" t="n">
        <f aca="false">-SUMPRODUCT(固有振動数!$Q$6:$Q$22*固有振動数!$P$6:$P$22/((1-($A819/固有振動数!$O$6:$O$22)^2)^2+固有振動数!$P$6:$P$22^2))</f>
        <v>-18.8003913246299</v>
      </c>
      <c r="D819" s="20" t="n">
        <f aca="false">SQRT(B819^2+C819^2)</f>
        <v>314.859770443202</v>
      </c>
      <c r="E819" s="32" t="n">
        <f aca="false">20*LOG10(MAX(D819,0.000000000001)/$K$3)</f>
        <v>49.9623434896034</v>
      </c>
    </row>
    <row r="820" customFormat="false" ht="15" hidden="false" customHeight="false" outlineLevel="0" collapsed="false">
      <c r="A820" s="13" t="n">
        <f aca="false">A819+$F$3</f>
        <v>32560</v>
      </c>
      <c r="B820" s="20" t="n">
        <f aca="false">SUMPRODUCT(固有振動数!$Q$6:$Q$22*(1-($A820/固有振動数!$O$6:$O$22)^2)/((1-($A820/固有振動数!$O$6:$O$22)^2)^2+固有振動数!$P$6:$P$22^2))</f>
        <v>1181.04577756118</v>
      </c>
      <c r="C820" s="20" t="n">
        <f aca="false">-SUMPRODUCT(固有振動数!$Q$6:$Q$22*固有振動数!$P$6:$P$22/((1-($A820/固有振動数!$O$6:$O$22)^2)^2+固有振動数!$P$6:$P$22^2))</f>
        <v>-292.033003240029</v>
      </c>
      <c r="D820" s="20" t="n">
        <f aca="false">SQRT(B820^2+C820^2)</f>
        <v>1216.61514197238</v>
      </c>
      <c r="E820" s="32" t="n">
        <f aca="false">20*LOG10(MAX(D820,0.000000000001)/$K$3)</f>
        <v>61.7030643476528</v>
      </c>
    </row>
    <row r="821" customFormat="false" ht="15" hidden="false" customHeight="false" outlineLevel="0" collapsed="false">
      <c r="A821" s="13" t="n">
        <f aca="false">A820+$F$3</f>
        <v>32600</v>
      </c>
      <c r="B821" s="20" t="n">
        <f aca="false">SUMPRODUCT(固有振動数!$Q$6:$Q$22*(1-($A821/固有振動数!$O$6:$O$22)^2)/((1-($A821/固有振動数!$O$6:$O$22)^2)^2+固有振動数!$P$6:$P$22^2))</f>
        <v>-587.404167805565</v>
      </c>
      <c r="C821" s="20" t="n">
        <f aca="false">-SUMPRODUCT(固有振動数!$Q$6:$Q$22*固有振動数!$P$6:$P$22/((1-($A821/固有振動数!$O$6:$O$22)^2)^2+固有振動数!$P$6:$P$22^2))</f>
        <v>-72.1105285084603</v>
      </c>
      <c r="D821" s="20" t="n">
        <f aca="false">SQRT(B821^2+C821^2)</f>
        <v>591.813809130133</v>
      </c>
      <c r="E821" s="32" t="n">
        <f aca="false">20*LOG10(MAX(D821,0.000000000001)/$K$3)</f>
        <v>55.4437018916882</v>
      </c>
    </row>
    <row r="822" customFormat="false" ht="15" hidden="false" customHeight="false" outlineLevel="0" collapsed="false">
      <c r="A822" s="13" t="n">
        <f aca="false">A821+$F$3</f>
        <v>32640</v>
      </c>
      <c r="B822" s="20" t="n">
        <f aca="false">SUMPRODUCT(固有振動数!$Q$6:$Q$22*(1-($A822/固有振動数!$O$6:$O$22)^2)/((1-($A822/固有振動数!$O$6:$O$22)^2)^2+固有振動数!$P$6:$P$22^2))</f>
        <v>-233.755661626834</v>
      </c>
      <c r="C822" s="20" t="n">
        <f aca="false">-SUMPRODUCT(固有振動数!$Q$6:$Q$22*固有振動数!$P$6:$P$22/((1-($A822/固有振動数!$O$6:$O$22)^2)^2+固有振動数!$P$6:$P$22^2))</f>
        <v>-11.8080478983089</v>
      </c>
      <c r="D822" s="20" t="n">
        <f aca="false">SQRT(B822^2+C822^2)</f>
        <v>234.053710369581</v>
      </c>
      <c r="E822" s="32" t="n">
        <f aca="false">20*LOG10(MAX(D822,0.000000000001)/$K$3)</f>
        <v>47.3863106046559</v>
      </c>
    </row>
    <row r="823" customFormat="false" ht="15" hidden="false" customHeight="false" outlineLevel="0" collapsed="false">
      <c r="A823" s="13" t="n">
        <f aca="false">A822+$F$3</f>
        <v>32680</v>
      </c>
      <c r="B823" s="20" t="n">
        <f aca="false">SUMPRODUCT(固有振動数!$Q$6:$Q$22*(1-($A823/固有振動数!$O$6:$O$22)^2)/((1-($A823/固有振動数!$O$6:$O$22)^2)^2+固有振動数!$P$6:$P$22^2))</f>
        <v>-142.989817132001</v>
      </c>
      <c r="C823" s="20" t="n">
        <f aca="false">-SUMPRODUCT(固有振動数!$Q$6:$Q$22*固有振動数!$P$6:$P$22/((1-($A823/固有振動数!$O$6:$O$22)^2)^2+固有振動数!$P$6:$P$22^2))</f>
        <v>-4.63515921381439</v>
      </c>
      <c r="D823" s="20" t="n">
        <f aca="false">SQRT(B823^2+C823^2)</f>
        <v>143.064924088263</v>
      </c>
      <c r="E823" s="32" t="n">
        <f aca="false">20*LOG10(MAX(D823,0.000000000001)/$K$3)</f>
        <v>43.1106633751019</v>
      </c>
    </row>
    <row r="824" customFormat="false" ht="15" hidden="false" customHeight="false" outlineLevel="0" collapsed="false">
      <c r="A824" s="13" t="n">
        <f aca="false">A823+$F$3</f>
        <v>32720</v>
      </c>
      <c r="B824" s="20" t="n">
        <f aca="false">SUMPRODUCT(固有振動数!$Q$6:$Q$22*(1-($A824/固有振動数!$O$6:$O$22)^2)/((1-($A824/固有振動数!$O$6:$O$22)^2)^2+固有振動数!$P$6:$P$22^2))</f>
        <v>-101.453254442524</v>
      </c>
      <c r="C824" s="20" t="n">
        <f aca="false">-SUMPRODUCT(固有振動数!$Q$6:$Q$22*固有振動数!$P$6:$P$22/((1-($A824/固有振動数!$O$6:$O$22)^2)^2+固有振動数!$P$6:$P$22^2))</f>
        <v>-2.45980100596096</v>
      </c>
      <c r="D824" s="20" t="n">
        <f aca="false">SQRT(B824^2+C824^2)</f>
        <v>101.483069809542</v>
      </c>
      <c r="E824" s="32" t="n">
        <f aca="false">20*LOG10(MAX(D824,0.000000000001)/$K$3)</f>
        <v>40.1278719185658</v>
      </c>
    </row>
    <row r="825" customFormat="false" ht="15" hidden="false" customHeight="false" outlineLevel="0" collapsed="false">
      <c r="A825" s="13" t="n">
        <f aca="false">A824+$F$3</f>
        <v>32760</v>
      </c>
      <c r="B825" s="20" t="n">
        <f aca="false">SUMPRODUCT(固有振動数!$Q$6:$Q$22*(1-($A825/固有振動数!$O$6:$O$22)^2)/((1-($A825/固有振動数!$O$6:$O$22)^2)^2+固有振動数!$P$6:$P$22^2))</f>
        <v>-77.6040224643149</v>
      </c>
      <c r="C825" s="20" t="n">
        <f aca="false">-SUMPRODUCT(固有振動数!$Q$6:$Q$22*固有振動数!$P$6:$P$22/((1-($A825/固有振動数!$O$6:$O$22)^2)^2+固有振動数!$P$6:$P$22^2))</f>
        <v>-1.52395523762474</v>
      </c>
      <c r="D825" s="20" t="n">
        <f aca="false">SQRT(B825^2+C825^2)</f>
        <v>77.6189844188146</v>
      </c>
      <c r="E825" s="32" t="n">
        <f aca="false">20*LOG10(MAX(D825,0.000000000001)/$K$3)</f>
        <v>37.7993591210327</v>
      </c>
    </row>
    <row r="826" customFormat="false" ht="15" hidden="false" customHeight="false" outlineLevel="0" collapsed="false">
      <c r="A826" s="13" t="n">
        <f aca="false">A825+$F$3</f>
        <v>32800</v>
      </c>
      <c r="B826" s="20" t="n">
        <f aca="false">SUMPRODUCT(固有振動数!$Q$6:$Q$22*(1-($A826/固有振動数!$O$6:$O$22)^2)/((1-($A826/固有振動数!$O$6:$O$22)^2)^2+固有振動数!$P$6:$P$22^2))</f>
        <v>-62.0976158110538</v>
      </c>
      <c r="C826" s="20" t="n">
        <f aca="false">-SUMPRODUCT(固有振動数!$Q$6:$Q$22*固有振動数!$P$6:$P$22/((1-($A826/固有振動数!$O$6:$O$22)^2)^2+固有振動数!$P$6:$P$22^2))</f>
        <v>-1.0380154354055</v>
      </c>
      <c r="D826" s="20" t="n">
        <f aca="false">SQRT(B826^2+C826^2)</f>
        <v>62.1062908686501</v>
      </c>
      <c r="E826" s="32" t="n">
        <f aca="false">20*LOG10(MAX(D826,0.000000000001)/$K$3)</f>
        <v>35.8627118589799</v>
      </c>
    </row>
    <row r="827" customFormat="false" ht="15" hidden="false" customHeight="false" outlineLevel="0" collapsed="false">
      <c r="A827" s="13" t="n">
        <f aca="false">A826+$F$3</f>
        <v>32840</v>
      </c>
      <c r="B827" s="20" t="n">
        <f aca="false">SUMPRODUCT(固有振動数!$Q$6:$Q$22*(1-($A827/固有振動数!$O$6:$O$22)^2)/((1-($A827/固有振動数!$O$6:$O$22)^2)^2+固有振動数!$P$6:$P$22^2))</f>
        <v>-51.1841924797098</v>
      </c>
      <c r="C827" s="20" t="n">
        <f aca="false">-SUMPRODUCT(固有振動数!$Q$6:$Q$22*固有振動数!$P$6:$P$22/((1-($A827/固有振動数!$O$6:$O$22)^2)^2+固有振動数!$P$6:$P$22^2))</f>
        <v>-0.753967190199423</v>
      </c>
      <c r="D827" s="20" t="n">
        <f aca="false">SQRT(B827^2+C827^2)</f>
        <v>51.1897453238818</v>
      </c>
      <c r="E827" s="32" t="n">
        <f aca="false">20*LOG10(MAX(D827,0.000000000001)/$K$3)</f>
        <v>34.1836593776008</v>
      </c>
    </row>
    <row r="828" customFormat="false" ht="15" hidden="false" customHeight="false" outlineLevel="0" collapsed="false">
      <c r="A828" s="13" t="n">
        <f aca="false">A827+$F$3</f>
        <v>32880</v>
      </c>
      <c r="B828" s="20" t="n">
        <f aca="false">SUMPRODUCT(固有振動数!$Q$6:$Q$22*(1-($A828/固有振動数!$O$6:$O$22)^2)/((1-($A828/固有振動数!$O$6:$O$22)^2)^2+固有振動数!$P$6:$P$22^2))</f>
        <v>-43.0670170670712</v>
      </c>
      <c r="C828" s="20" t="n">
        <f aca="false">-SUMPRODUCT(固有振動数!$Q$6:$Q$22*固有振動数!$P$6:$P$22/((1-($A828/固有振動数!$O$6:$O$22)^2)^2+固有振動数!$P$6:$P$22^2))</f>
        <v>-0.573818042410725</v>
      </c>
      <c r="D828" s="20" t="n">
        <f aca="false">SQRT(B828^2+C828^2)</f>
        <v>43.070839627307</v>
      </c>
      <c r="E828" s="32" t="n">
        <f aca="false">20*LOG10(MAX(D828,0.000000000001)/$K$3)</f>
        <v>32.6836667605142</v>
      </c>
    </row>
    <row r="829" customFormat="false" ht="15" hidden="false" customHeight="false" outlineLevel="0" collapsed="false">
      <c r="A829" s="13" t="n">
        <f aca="false">A828+$F$3</f>
        <v>32920</v>
      </c>
      <c r="B829" s="20" t="n">
        <f aca="false">SUMPRODUCT(固有振動数!$Q$6:$Q$22*(1-($A829/固有振動数!$O$6:$O$22)^2)/((1-($A829/固有振動数!$O$6:$O$22)^2)^2+固有振動数!$P$6:$P$22^2))</f>
        <v>-36.7773863573013</v>
      </c>
      <c r="C829" s="20" t="n">
        <f aca="false">-SUMPRODUCT(固有振動数!$Q$6:$Q$22*固有振動数!$P$6:$P$22/((1-($A829/固有振動数!$O$6:$O$22)^2)^2+固有振動数!$P$6:$P$22^2))</f>
        <v>-0.452545628229978</v>
      </c>
      <c r="D829" s="20" t="n">
        <f aca="false">SQRT(B829^2+C829^2)</f>
        <v>36.7801705382104</v>
      </c>
      <c r="E829" s="32" t="n">
        <f aca="false">20*LOG10(MAX(D829,0.000000000001)/$K$3)</f>
        <v>31.3122747719031</v>
      </c>
    </row>
    <row r="830" customFormat="false" ht="15" hidden="false" customHeight="false" outlineLevel="0" collapsed="false">
      <c r="A830" s="13" t="n">
        <f aca="false">A829+$F$3</f>
        <v>32960</v>
      </c>
      <c r="B830" s="20" t="n">
        <f aca="false">SUMPRODUCT(固有振動数!$Q$6:$Q$22*(1-($A830/固有振動数!$O$6:$O$22)^2)/((1-($A830/固有振動数!$O$6:$O$22)^2)^2+固有振動数!$P$6:$P$22^2))</f>
        <v>-31.7468654017045</v>
      </c>
      <c r="C830" s="20" t="n">
        <f aca="false">-SUMPRODUCT(固有振動数!$Q$6:$Q$22*固有振動数!$P$6:$P$22/((1-($A830/固有振動数!$O$6:$O$22)^2)^2+固有振動数!$P$6:$P$22^2))</f>
        <v>-0.367116107656173</v>
      </c>
      <c r="D830" s="20" t="n">
        <f aca="false">SQRT(B830^2+C830^2)</f>
        <v>31.7489879692321</v>
      </c>
      <c r="E830" s="32" t="n">
        <f aca="false">20*LOG10(MAX(D830,0.000000000001)/$K$3)</f>
        <v>30.034597725547</v>
      </c>
    </row>
    <row r="831" customFormat="false" ht="15" hidden="false" customHeight="false" outlineLevel="0" collapsed="false">
      <c r="A831" s="13" t="n">
        <f aca="false">A830+$F$3</f>
        <v>33000</v>
      </c>
      <c r="B831" s="20" t="n">
        <f aca="false">SUMPRODUCT(固有振動数!$Q$6:$Q$22*(1-($A831/固有振動数!$O$6:$O$22)^2)/((1-($A831/固有振動数!$O$6:$O$22)^2)^2+固有振動数!$P$6:$P$22^2))</f>
        <v>-27.6198509559755</v>
      </c>
      <c r="C831" s="20" t="n">
        <f aca="false">-SUMPRODUCT(固有振動数!$Q$6:$Q$22*固有振動数!$P$6:$P$22/((1-($A831/固有振動数!$O$6:$O$22)^2)^2+固有振動数!$P$6:$P$22^2))</f>
        <v>-0.304753118347651</v>
      </c>
      <c r="D831" s="20" t="n">
        <f aca="false">SQRT(B831^2+C831^2)</f>
        <v>27.6215322039427</v>
      </c>
      <c r="E831" s="32" t="n">
        <f aca="false">20*LOG10(MAX(D831,0.000000000001)/$K$3)</f>
        <v>28.824955316323</v>
      </c>
    </row>
    <row r="832" customFormat="false" ht="15" hidden="false" customHeight="false" outlineLevel="0" collapsed="false">
      <c r="A832" s="13" t="n">
        <f aca="false">A831+$F$3</f>
        <v>33040</v>
      </c>
      <c r="B832" s="20" t="n">
        <f aca="false">SUMPRODUCT(固有振動数!$Q$6:$Q$22*(1-($A832/固有振動数!$O$6:$O$22)^2)/((1-($A832/固有振動数!$O$6:$O$22)^2)^2+固有振動数!$P$6:$P$22^2))</f>
        <v>-24.1624309931641</v>
      </c>
      <c r="C832" s="20" t="n">
        <f aca="false">-SUMPRODUCT(固有振動数!$Q$6:$Q$22*固有振動数!$P$6:$P$22/((1-($A832/固有振動数!$O$6:$O$22)^2)^2+固有振動数!$P$6:$P$22^2))</f>
        <v>-0.257908378940383</v>
      </c>
      <c r="D832" s="20" t="n">
        <f aca="false">SQRT(B832^2+C832^2)</f>
        <v>24.1638074034566</v>
      </c>
      <c r="E832" s="32" t="n">
        <f aca="false">20*LOG10(MAX(D832,0.000000000001)/$K$3)</f>
        <v>27.6633073109306</v>
      </c>
    </row>
    <row r="833" customFormat="false" ht="15" hidden="false" customHeight="false" outlineLevel="0" collapsed="false">
      <c r="A833" s="13" t="n">
        <f aca="false">A832+$F$3</f>
        <v>33080</v>
      </c>
      <c r="B833" s="20" t="n">
        <f aca="false">SUMPRODUCT(固有振動数!$Q$6:$Q$22*(1-($A833/固有振動数!$O$6:$O$22)^2)/((1-($A833/固有振動数!$O$6:$O$22)^2)^2+固有振動数!$P$6:$P$22^2))</f>
        <v>-21.2143762963731</v>
      </c>
      <c r="C833" s="20" t="n">
        <f aca="false">-SUMPRODUCT(固有振動数!$Q$6:$Q$22*固有振動数!$P$6:$P$22/((1-($A833/固有振動数!$O$6:$O$22)^2)^2+固有振動数!$P$6:$P$22^2))</f>
        <v>-0.221890623234902</v>
      </c>
      <c r="D833" s="20" t="n">
        <f aca="false">SQRT(B833^2+C833^2)</f>
        <v>21.2155366911327</v>
      </c>
      <c r="E833" s="32" t="n">
        <f aca="false">20*LOG10(MAX(D833,0.000000000001)/$K$3)</f>
        <v>26.5330804524785</v>
      </c>
    </row>
    <row r="834" customFormat="false" ht="15" hidden="false" customHeight="false" outlineLevel="0" collapsed="false">
      <c r="A834" s="13" t="n">
        <f aca="false">A833+$F$3</f>
        <v>33120</v>
      </c>
      <c r="B834" s="20" t="n">
        <f aca="false">SUMPRODUCT(固有振動数!$Q$6:$Q$22*(1-($A834/固有振動数!$O$6:$O$22)^2)/((1-($A834/固有振動数!$O$6:$O$22)^2)^2+固有振動数!$P$6:$P$22^2))</f>
        <v>-18.6621909874509</v>
      </c>
      <c r="C834" s="20" t="n">
        <f aca="false">-SUMPRODUCT(固有振動数!$Q$6:$Q$22*固有振動数!$P$6:$P$22/((1-($A834/固有振動数!$O$6:$O$22)^2)^2+固有振動数!$P$6:$P$22^2))</f>
        <v>-0.193660447726285</v>
      </c>
      <c r="D834" s="20" t="n">
        <f aca="false">SQRT(B834^2+C834^2)</f>
        <v>18.6631957826388</v>
      </c>
      <c r="E834" s="32" t="n">
        <f aca="false">20*LOG10(MAX(D834,0.000000000001)/$K$3)</f>
        <v>25.4197202393667</v>
      </c>
    </row>
    <row r="835" customFormat="false" ht="15" hidden="false" customHeight="false" outlineLevel="0" collapsed="false">
      <c r="A835" s="13" t="n">
        <f aca="false">A834+$F$3</f>
        <v>33160</v>
      </c>
      <c r="B835" s="20" t="n">
        <f aca="false">SUMPRODUCT(固有振動数!$Q$6:$Q$22*(1-($A835/固有振動数!$O$6:$O$22)^2)/((1-($A835/固有振動数!$O$6:$O$22)^2)^2+固有振動数!$P$6:$P$22^2))</f>
        <v>-16.4231786709792</v>
      </c>
      <c r="C835" s="20" t="n">
        <f aca="false">-SUMPRODUCT(固有振動数!$Q$6:$Q$22*固有振動数!$P$6:$P$22/((1-($A835/固有振動数!$O$6:$O$22)^2)^2+固有振動数!$P$6:$P$22^2))</f>
        <v>-0.171179115850675</v>
      </c>
      <c r="D835" s="20" t="n">
        <f aca="false">SQRT(B835^2+C835^2)</f>
        <v>16.4240707484049</v>
      </c>
      <c r="E835" s="32" t="n">
        <f aca="false">20*LOG10(MAX(D835,0.000000000001)/$K$3)</f>
        <v>24.3096161427106</v>
      </c>
    </row>
    <row r="836" customFormat="false" ht="15" hidden="false" customHeight="false" outlineLevel="0" collapsed="false">
      <c r="A836" s="13" t="n">
        <f aca="false">A835+$F$3</f>
        <v>33200</v>
      </c>
      <c r="B836" s="20" t="n">
        <f aca="false">SUMPRODUCT(固有振動数!$Q$6:$Q$22*(1-($A836/固有振動数!$O$6:$O$22)^2)/((1-($A836/固有振動数!$O$6:$O$22)^2)^2+固有振動数!$P$6:$P$22^2))</f>
        <v>-14.4356055300168</v>
      </c>
      <c r="C836" s="20" t="n">
        <f aca="false">-SUMPRODUCT(固有振動数!$Q$6:$Q$22*固有振動数!$P$6:$P$22/((1-($A836/固有振動数!$O$6:$O$22)^2)^2+固有振動数!$P$6:$P$22^2))</f>
        <v>-0.153038352181891</v>
      </c>
      <c r="D836" s="20" t="n">
        <f aca="false">SQRT(B836^2+C836^2)</f>
        <v>14.4364167214545</v>
      </c>
      <c r="E836" s="32" t="n">
        <f aca="false">20*LOG10(MAX(D836,0.000000000001)/$K$3)</f>
        <v>23.1891881981679</v>
      </c>
    </row>
    <row r="837" customFormat="false" ht="15" hidden="false" customHeight="false" outlineLevel="0" collapsed="false">
      <c r="A837" s="13" t="n">
        <f aca="false">A836+$F$3</f>
        <v>33240</v>
      </c>
      <c r="B837" s="20" t="n">
        <f aca="false">SUMPRODUCT(固有振動数!$Q$6:$Q$22*(1-($A837/固有振動数!$O$6:$O$22)^2)/((1-($A837/固有振動数!$O$6:$O$22)^2)^2+固有振動数!$P$6:$P$22^2))</f>
        <v>-12.6524010515437</v>
      </c>
      <c r="C837" s="20" t="n">
        <f aca="false">-SUMPRODUCT(固有振動数!$Q$6:$Q$22*固有振動数!$P$6:$P$22/((1-($A837/固有振動数!$O$6:$O$22)^2)^2+固有振動数!$P$6:$P$22^2))</f>
        <v>-0.138240658183676</v>
      </c>
      <c r="D837" s="20" t="n">
        <f aca="false">SQRT(B837^2+C837^2)</f>
        <v>12.6531562405859</v>
      </c>
      <c r="E837" s="32" t="n">
        <f aca="false">20*LOG10(MAX(D837,0.000000000001)/$K$3)</f>
        <v>22.0439774144191</v>
      </c>
    </row>
    <row r="838" customFormat="false" ht="15" hidden="false" customHeight="false" outlineLevel="0" collapsed="false">
      <c r="A838" s="13" t="n">
        <f aca="false">A837+$F$3</f>
        <v>33280</v>
      </c>
      <c r="B838" s="20" t="n">
        <f aca="false">SUMPRODUCT(固有振動数!$Q$6:$Q$22*(1-($A838/固有振動数!$O$6:$O$22)^2)/((1-($A838/固有振動数!$O$6:$O$22)^2)^2+固有振動数!$P$6:$P$22^2))</f>
        <v>-11.0369952546037</v>
      </c>
      <c r="C838" s="20" t="n">
        <f aca="false">-SUMPRODUCT(固有振動数!$Q$6:$Q$22*固有振動数!$P$6:$P$22/((1-($A838/固有振動数!$O$6:$O$22)^2)^2+固有振動数!$P$6:$P$22^2))</f>
        <v>-0.126064077336916</v>
      </c>
      <c r="D838" s="20" t="n">
        <f aca="false">SQRT(B838^2+C838^2)</f>
        <v>11.0377151803142</v>
      </c>
      <c r="E838" s="32" t="n">
        <f aca="false">20*LOG10(MAX(D838,0.000000000001)/$K$3)</f>
        <v>20.8575836648263</v>
      </c>
    </row>
    <row r="839" customFormat="false" ht="15" hidden="false" customHeight="false" outlineLevel="0" collapsed="false">
      <c r="A839" s="13" t="n">
        <f aca="false">A838+$F$3</f>
        <v>33320</v>
      </c>
      <c r="B839" s="20" t="n">
        <f aca="false">SUMPRODUCT(固有振動数!$Q$6:$Q$22*(1-($A839/固有振動数!$O$6:$O$22)^2)/((1-($A839/固有振動数!$O$6:$O$22)^2)^2+固有振動数!$P$6:$P$22^2))</f>
        <v>-9.5604914014071</v>
      </c>
      <c r="C839" s="20" t="n">
        <f aca="false">-SUMPRODUCT(固有振動数!$Q$6:$Q$22*固有振動数!$P$6:$P$22/((1-($A839/固有振動数!$O$6:$O$22)^2)^2+固有振動数!$P$6:$P$22^2))</f>
        <v>-0.115976262258668</v>
      </c>
      <c r="D839" s="20" t="n">
        <f aca="false">SQRT(B839^2+C839^2)</f>
        <v>9.56119481706061</v>
      </c>
      <c r="E839" s="32" t="n">
        <f aca="false">20*LOG10(MAX(D839,0.000000000001)/$K$3)</f>
        <v>19.6102433476822</v>
      </c>
    </row>
    <row r="840" customFormat="false" ht="15" hidden="false" customHeight="false" outlineLevel="0" collapsed="false">
      <c r="A840" s="13" t="n">
        <f aca="false">A839+$F$3</f>
        <v>33360</v>
      </c>
      <c r="B840" s="20" t="n">
        <f aca="false">SUMPRODUCT(固有振動数!$Q$6:$Q$22*(1-($A840/固有振動数!$O$6:$O$22)^2)/((1-($A840/固有振動数!$O$6:$O$22)^2)^2+固有振動数!$P$6:$P$22^2))</f>
        <v>-8.19969879716432</v>
      </c>
      <c r="C840" s="20" t="n">
        <f aca="false">-SUMPRODUCT(固有振動数!$Q$6:$Q$22*固有振動数!$P$6:$P$22/((1-($A840/固有振動数!$O$6:$O$22)^2)^2+固有振動数!$P$6:$P$22^2))</f>
        <v>-0.107578337696366</v>
      </c>
      <c r="D840" s="20" t="n">
        <f aca="false">SQRT(B840^2+C840^2)</f>
        <v>8.20040446947342</v>
      </c>
      <c r="E840" s="32" t="n">
        <f aca="false">20*LOG10(MAX(D840,0.000000000001)/$K$3)</f>
        <v>18.2767054733531</v>
      </c>
    </row>
    <row r="841" customFormat="false" ht="15" hidden="false" customHeight="false" outlineLevel="0" collapsed="false">
      <c r="A841" s="13" t="n">
        <f aca="false">A840+$F$3</f>
        <v>33400</v>
      </c>
      <c r="B841" s="20" t="n">
        <f aca="false">SUMPRODUCT(固有振動数!$Q$6:$Q$22*(1-($A841/固有振動数!$O$6:$O$22)^2)/((1-($A841/固有振動数!$O$6:$O$22)^2)^2+固有振動数!$P$6:$P$22^2))</f>
        <v>-6.93573416864397</v>
      </c>
      <c r="C841" s="20" t="n">
        <f aca="false">-SUMPRODUCT(固有振動数!$Q$6:$Q$22*固有振動数!$P$6:$P$22/((1-($A841/固有振動数!$O$6:$O$22)^2)^2+固有振動数!$P$6:$P$22^2))</f>
        <v>-0.100567326932852</v>
      </c>
      <c r="D841" s="20" t="n">
        <f aca="false">SQRT(B841^2+C841^2)</f>
        <v>6.93646323751102</v>
      </c>
      <c r="E841" s="32" t="n">
        <f aca="false">20*LOG10(MAX(D841,0.000000000001)/$K$3)</f>
        <v>16.8227617781086</v>
      </c>
    </row>
    <row r="842" customFormat="false" ht="15" hidden="false" customHeight="false" outlineLevel="0" collapsed="false">
      <c r="A842" s="13" t="n">
        <f aca="false">A841+$F$3</f>
        <v>33440</v>
      </c>
      <c r="B842" s="20" t="n">
        <f aca="false">SUMPRODUCT(固有振動数!$Q$6:$Q$22*(1-($A842/固有振動数!$O$6:$O$22)^2)/((1-($A842/固有振動数!$O$6:$O$22)^2)^2+固有振動数!$P$6:$P$22^2))</f>
        <v>-5.75300763873949</v>
      </c>
      <c r="C842" s="20" t="n">
        <f aca="false">-SUMPRODUCT(固有振動数!$Q$6:$Q$22*固有振動数!$P$6:$P$22/((1-($A842/固有振動数!$O$6:$O$22)^2)^2+固有振動数!$P$6:$P$22^2))</f>
        <v>-0.0947104603390271</v>
      </c>
      <c r="D842" s="20" t="n">
        <f aca="false">SQRT(B842^2+C842^2)</f>
        <v>5.75378718434151</v>
      </c>
      <c r="E842" s="32" t="n">
        <f aca="false">20*LOG10(MAX(D842,0.000000000001)/$K$3)</f>
        <v>15.1990758915262</v>
      </c>
    </row>
    <row r="843" customFormat="false" ht="15" hidden="false" customHeight="false" outlineLevel="0" collapsed="false">
      <c r="A843" s="13" t="n">
        <f aca="false">A842+$F$3</f>
        <v>33480</v>
      </c>
      <c r="B843" s="20" t="n">
        <f aca="false">SUMPRODUCT(固有振動数!$Q$6:$Q$22*(1-($A843/固有振動数!$O$6:$O$22)^2)/((1-($A843/固有振動数!$O$6:$O$22)^2)^2+固有振動数!$P$6:$P$22^2))</f>
        <v>-4.63847415346506</v>
      </c>
      <c r="C843" s="20" t="n">
        <f aca="false">-SUMPRODUCT(固有振動数!$Q$6:$Q$22*固有振動数!$P$6:$P$22/((1-($A843/固有振動数!$O$6:$O$22)^2)^2+固有振動数!$P$6:$P$22^2))</f>
        <v>-0.089827276340083</v>
      </c>
      <c r="D843" s="20" t="n">
        <f aca="false">SQRT(B843^2+C843^2)</f>
        <v>4.63934385575569</v>
      </c>
      <c r="E843" s="32" t="n">
        <f aca="false">20*LOG10(MAX(D843,0.000000000001)/$K$3)</f>
        <v>13.3291312491378</v>
      </c>
    </row>
    <row r="844" customFormat="false" ht="15" hidden="false" customHeight="false" outlineLevel="0" collapsed="false">
      <c r="A844" s="13" t="n">
        <f aca="false">A843+$F$3</f>
        <v>33520</v>
      </c>
      <c r="B844" s="20" t="n">
        <f aca="false">SUMPRODUCT(固有振動数!$Q$6:$Q$22*(1-($A844/固有振動数!$O$6:$O$22)^2)/((1-($A844/固有振動数!$O$6:$O$22)^2)^2+固有振動数!$P$6:$P$22^2))</f>
        <v>-3.5810713951852</v>
      </c>
      <c r="C844" s="20" t="n">
        <f aca="false">-SUMPRODUCT(固有振動数!$Q$6:$Q$22*固有振動数!$P$6:$P$22/((1-($A844/固有振動数!$O$6:$O$22)^2)^2+固有振動数!$P$6:$P$22^2))</f>
        <v>-0.0857769468024246</v>
      </c>
      <c r="D844" s="20" t="n">
        <f aca="false">SQRT(B844^2+C844^2)</f>
        <v>3.58209855001456</v>
      </c>
      <c r="E844" s="32" t="n">
        <f aca="false">20*LOG10(MAX(D844,0.000000000001)/$K$3)</f>
        <v>11.0827505980925</v>
      </c>
    </row>
    <row r="845" customFormat="false" ht="15" hidden="false" customHeight="false" outlineLevel="0" collapsed="false">
      <c r="A845" s="13" t="n">
        <f aca="false">A844+$F$3</f>
        <v>33560</v>
      </c>
      <c r="B845" s="20" t="n">
        <f aca="false">SUMPRODUCT(固有振動数!$Q$6:$Q$22*(1-($A845/固有振動数!$O$6:$O$22)^2)/((1-($A845/固有振動数!$O$6:$O$22)^2)^2+固有振動数!$P$6:$P$22^2))</f>
        <v>-2.57129072177626</v>
      </c>
      <c r="C845" s="20" t="n">
        <f aca="false">-SUMPRODUCT(固有振動数!$Q$6:$Q$22*固有振動数!$P$6:$P$22/((1-($A845/固有振動数!$O$6:$O$22)^2)^2+固有振動数!$P$6:$P$22^2))</f>
        <v>-0.0824491774425334</v>
      </c>
      <c r="D845" s="20" t="n">
        <f aca="false">SQRT(B845^2+C845^2)</f>
        <v>2.57261226047643</v>
      </c>
      <c r="E845" s="32" t="n">
        <f aca="false">20*LOG10(MAX(D845,0.000000000001)/$K$3)</f>
        <v>8.20748670108356</v>
      </c>
    </row>
    <row r="846" customFormat="false" ht="15" hidden="false" customHeight="false" outlineLevel="0" collapsed="false">
      <c r="A846" s="13" t="n">
        <f aca="false">A845+$F$3</f>
        <v>33600</v>
      </c>
      <c r="B846" s="20" t="n">
        <f aca="false">SUMPRODUCT(固有振動数!$Q$6:$Q$22*(1-($A846/固有振動数!$O$6:$O$22)^2)/((1-($A846/固有振動数!$O$6:$O$22)^2)^2+固有振動数!$P$6:$P$22^2))</f>
        <v>-1.60084421522616</v>
      </c>
      <c r="C846" s="20" t="n">
        <f aca="false">-SUMPRODUCT(固有振動数!$Q$6:$Q$22*固有振動数!$P$6:$P$22/((1-($A846/固有振動数!$O$6:$O$22)^2)^2+固有振動数!$P$6:$P$22^2))</f>
        <v>-0.0797576024539038</v>
      </c>
      <c r="D846" s="20" t="n">
        <f aca="false">SQRT(B846^2+C846^2)</f>
        <v>1.60282983394129</v>
      </c>
      <c r="E846" s="32" t="n">
        <f aca="false">20*LOG10(MAX(D846,0.000000000001)/$K$3)</f>
        <v>4.09774834972647</v>
      </c>
    </row>
    <row r="847" customFormat="false" ht="15" hidden="false" customHeight="false" outlineLevel="0" collapsed="false">
      <c r="A847" s="13" t="n">
        <f aca="false">A846+$F$3</f>
        <v>33640</v>
      </c>
      <c r="B847" s="20" t="n">
        <f aca="false">SUMPRODUCT(固有振動数!$Q$6:$Q$22*(1-($A847/固有振動数!$O$6:$O$22)^2)/((1-($A847/固有振動数!$O$6:$O$22)^2)^2+固有振動数!$P$6:$P$22^2))</f>
        <v>-0.662401858783348</v>
      </c>
      <c r="C847" s="20" t="n">
        <f aca="false">-SUMPRODUCT(固有振動数!$Q$6:$Q$22*固有振動数!$P$6:$P$22/((1-($A847/固有振動数!$O$6:$O$22)^2)^2+固有振動数!$P$6:$P$22^2))</f>
        <v>-0.0776349527338448</v>
      </c>
      <c r="D847" s="20" t="n">
        <f aca="false">SQRT(B847^2+C847^2)</f>
        <v>0.666935835298735</v>
      </c>
      <c r="E847" s="32" t="n">
        <f aca="false">20*LOG10(MAX(D847,0.000000000001)/$K$3)</f>
        <v>-3.51831893534628</v>
      </c>
    </row>
    <row r="848" customFormat="false" ht="15" hidden="false" customHeight="false" outlineLevel="0" collapsed="false">
      <c r="A848" s="13" t="n">
        <f aca="false">A847+$F$3</f>
        <v>33680</v>
      </c>
      <c r="B848" s="20" t="n">
        <f aca="false">SUMPRODUCT(固有振動数!$Q$6:$Q$22*(1-($A848/固有振動数!$O$6:$O$22)^2)/((1-($A848/固有振動数!$O$6:$O$22)^2)^2+固有振動数!$P$6:$P$22^2))</f>
        <v>0.250619791642731</v>
      </c>
      <c r="C848" s="20" t="n">
        <f aca="false">-SUMPRODUCT(固有振動数!$Q$6:$Q$22*固有振動数!$P$6:$P$22/((1-($A848/固有振動数!$O$6:$O$22)^2)^2+固有振動数!$P$6:$P$22^2))</f>
        <v>-0.0760295102921056</v>
      </c>
      <c r="D848" s="20" t="n">
        <f aca="false">SQRT(B848^2+C848^2)</f>
        <v>0.261898389453435</v>
      </c>
      <c r="E848" s="32" t="n">
        <f aca="false">20*LOG10(MAX(D848,0.000000000001)/$K$3)</f>
        <v>-11.6373434452897</v>
      </c>
    </row>
    <row r="849" customFormat="false" ht="15" hidden="false" customHeight="false" outlineLevel="0" collapsed="false">
      <c r="A849" s="13" t="n">
        <f aca="false">A848+$F$3</f>
        <v>33720</v>
      </c>
      <c r="B849" s="20" t="n">
        <f aca="false">SUMPRODUCT(固有振動数!$Q$6:$Q$22*(1-($A849/固有振動数!$O$6:$O$22)^2)/((1-($A849/固有振動数!$O$6:$O$22)^2)^2+固有振動数!$P$6:$P$22^2))</f>
        <v>1.14423107605772</v>
      </c>
      <c r="C849" s="20" t="n">
        <f aca="false">-SUMPRODUCT(固有振動数!$Q$6:$Q$22*固有振動数!$P$6:$P$22/((1-($A849/固有振動数!$O$6:$O$22)^2)^2+固有振動数!$P$6:$P$22^2))</f>
        <v>-0.0749025156759871</v>
      </c>
      <c r="D849" s="20" t="n">
        <f aca="false">SQRT(B849^2+C849^2)</f>
        <v>1.14668005226864</v>
      </c>
      <c r="E849" s="32" t="n">
        <f aca="false">20*LOG10(MAX(D849,0.000000000001)/$K$3)</f>
        <v>1.18884515109217</v>
      </c>
    </row>
    <row r="850" customFormat="false" ht="15" hidden="false" customHeight="false" outlineLevel="0" collapsed="false">
      <c r="A850" s="13" t="n">
        <f aca="false">A849+$F$3</f>
        <v>33760</v>
      </c>
      <c r="B850" s="20" t="n">
        <f aca="false">SUMPRODUCT(固有振動数!$Q$6:$Q$22*(1-($A850/固有振動数!$O$6:$O$22)^2)/((1-($A850/固有振動数!$O$6:$O$22)^2)^2+固有振動数!$P$6:$P$22^2))</f>
        <v>2.02401504055166</v>
      </c>
      <c r="C850" s="20" t="n">
        <f aca="false">-SUMPRODUCT(固有振動数!$Q$6:$Q$22*固有振動数!$P$6:$P$22/((1-($A850/固有振動数!$O$6:$O$22)^2)^2+固有振動数!$P$6:$P$22^2))</f>
        <v>-0.0742262995871291</v>
      </c>
      <c r="D850" s="20" t="n">
        <f aca="false">SQRT(B850^2+C850^2)</f>
        <v>2.02537562637891</v>
      </c>
      <c r="E850" s="32" t="n">
        <f aca="false">20*LOG10(MAX(D850,0.000000000001)/$K$3)</f>
        <v>6.13011158642509</v>
      </c>
    </row>
    <row r="851" customFormat="false" ht="15" hidden="false" customHeight="false" outlineLevel="0" collapsed="false">
      <c r="A851" s="13" t="n">
        <f aca="false">A850+$F$3</f>
        <v>33800</v>
      </c>
      <c r="B851" s="20" t="n">
        <f aca="false">SUMPRODUCT(固有振動数!$Q$6:$Q$22*(1-($A851/固有振動数!$O$6:$O$22)^2)/((1-($A851/固有振動数!$O$6:$O$22)^2)^2+固有振動数!$P$6:$P$22^2))</f>
        <v>2.89525342957514</v>
      </c>
      <c r="C851" s="20" t="n">
        <f aca="false">-SUMPRODUCT(固有振動数!$Q$6:$Q$22*固有振動数!$P$6:$P$22/((1-($A851/固有振動数!$O$6:$O$22)^2)^2+固有振動数!$P$6:$P$22^2))</f>
        <v>-0.0739829822688601</v>
      </c>
      <c r="D851" s="20" t="n">
        <f aca="false">SQRT(B851^2+C851^2)</f>
        <v>2.89619852619463</v>
      </c>
      <c r="E851" s="32" t="n">
        <f aca="false">20*LOG10(MAX(D851,0.000000000001)/$K$3)</f>
        <v>9.23656656400873</v>
      </c>
    </row>
    <row r="852" customFormat="false" ht="15" hidden="false" customHeight="false" outlineLevel="0" collapsed="false">
      <c r="A852" s="13" t="n">
        <f aca="false">A851+$F$3</f>
        <v>33840</v>
      </c>
      <c r="B852" s="20" t="n">
        <f aca="false">SUMPRODUCT(固有振動数!$Q$6:$Q$22*(1-($A852/固有振動数!$O$6:$O$22)^2)/((1-($A852/固有振動数!$O$6:$O$22)^2)^2+固有振動数!$P$6:$P$22^2))</f>
        <v>3.76303909255275</v>
      </c>
      <c r="C852" s="20" t="n">
        <f aca="false">-SUMPRODUCT(固有振動数!$Q$6:$Q$22*固有振動数!$P$6:$P$22/((1-($A852/固有振動数!$O$6:$O$22)^2)^2+固有振動数!$P$6:$P$22^2))</f>
        <v>-0.0741636361298697</v>
      </c>
      <c r="D852" s="20" t="n">
        <f aca="false">SQRT(B852^2+C852^2)</f>
        <v>3.76376984644442</v>
      </c>
      <c r="E852" s="32" t="n">
        <f aca="false">20*LOG10(MAX(D852,0.000000000001)/$K$3)</f>
        <v>11.5124611714316</v>
      </c>
    </row>
    <row r="853" customFormat="false" ht="15" hidden="false" customHeight="false" outlineLevel="0" collapsed="false">
      <c r="A853" s="13" t="n">
        <f aca="false">A852+$F$3</f>
        <v>33880</v>
      </c>
      <c r="B853" s="20" t="n">
        <f aca="false">SUMPRODUCT(固有振動数!$Q$6:$Q$22*(1-($A853/固有振動数!$O$6:$O$22)^2)/((1-($A853/固有振動数!$O$6:$O$22)^2)^2+固有振動数!$P$6:$P$22^2))</f>
        <v>4.63237997696976</v>
      </c>
      <c r="C853" s="20" t="n">
        <f aca="false">-SUMPRODUCT(固有振動数!$Q$6:$Q$22*固有振動数!$P$6:$P$22/((1-($A853/固有振動数!$O$6:$O$22)^2)^2+固有振動数!$P$6:$P$22^2))</f>
        <v>-0.0747678459289659</v>
      </c>
      <c r="D853" s="20" t="n">
        <f aca="false">SQRT(B853^2+C853^2)</f>
        <v>4.63298332414603</v>
      </c>
      <c r="E853" s="32" t="n">
        <f aca="false">20*LOG10(MAX(D853,0.000000000001)/$K$3)</f>
        <v>13.3172147403273</v>
      </c>
    </row>
    <row r="854" customFormat="false" ht="15" hidden="false" customHeight="false" outlineLevel="0" collapsed="false">
      <c r="A854" s="13" t="n">
        <f aca="false">A853+$F$3</f>
        <v>33920</v>
      </c>
      <c r="B854" s="20" t="n">
        <f aca="false">SUMPRODUCT(固有振動数!$Q$6:$Q$22*(1-($A854/固有振動数!$O$6:$O$22)^2)/((1-($A854/固有振動数!$O$6:$O$22)^2)^2+固有振動数!$P$6:$P$22^2))</f>
        <v>5.50829923957211</v>
      </c>
      <c r="C854" s="20" t="n">
        <f aca="false">-SUMPRODUCT(固有振動数!$Q$6:$Q$22*固有振動数!$P$6:$P$22/((1-($A854/固有振動数!$O$6:$O$22)^2)^2+固有振動数!$P$6:$P$22^2))</f>
        <v>-0.0758036318127749</v>
      </c>
      <c r="D854" s="20" t="n">
        <f aca="false">SQRT(B854^2+C854^2)</f>
        <v>5.50882080878174</v>
      </c>
      <c r="E854" s="32" t="n">
        <f aca="false">20*LOG10(MAX(D854,0.000000000001)/$K$3)</f>
        <v>14.8211729169782</v>
      </c>
    </row>
    <row r="855" customFormat="false" ht="15" hidden="false" customHeight="false" outlineLevel="0" collapsed="false">
      <c r="A855" s="13" t="n">
        <f aca="false">A854+$F$3</f>
        <v>33960</v>
      </c>
      <c r="B855" s="20" t="n">
        <f aca="false">SUMPRODUCT(固有振動数!$Q$6:$Q$22*(1-($A855/固有振動数!$O$6:$O$22)^2)/((1-($A855/固有振動数!$O$6:$O$22)^2)^2+固有振動数!$P$6:$P$22^2))</f>
        <v>6.39593571130725</v>
      </c>
      <c r="C855" s="20" t="n">
        <f aca="false">-SUMPRODUCT(固有振動数!$Q$6:$Q$22*固有振動数!$P$6:$P$22/((1-($A855/固有振動数!$O$6:$O$22)^2)^2+固有振動数!$P$6:$P$22^2))</f>
        <v>-0.0772877273470737</v>
      </c>
      <c r="D855" s="20" t="n">
        <f aca="false">SQRT(B855^2+C855^2)</f>
        <v>6.39640266211985</v>
      </c>
      <c r="E855" s="32" t="n">
        <f aca="false">20*LOG10(MAX(D855,0.000000000001)/$K$3)</f>
        <v>16.1187159070885</v>
      </c>
    </row>
    <row r="856" customFormat="false" ht="15" hidden="false" customHeight="false" outlineLevel="0" collapsed="false">
      <c r="A856" s="13" t="n">
        <f aca="false">A855+$F$3</f>
        <v>34000</v>
      </c>
      <c r="B856" s="20" t="n">
        <f aca="false">SUMPRODUCT(固有振動数!$Q$6:$Q$22*(1-($A856/固有振動数!$O$6:$O$22)^2)/((1-($A856/固有振動数!$O$6:$O$22)^2)^2+固有振動数!$P$6:$P$22^2))</f>
        <v>7.30064896574561</v>
      </c>
      <c r="C856" s="20" t="n">
        <f aca="false">-SUMPRODUCT(固有振動数!$Q$6:$Q$22*固有振動数!$P$6:$P$22/((1-($A856/固有振動数!$O$6:$O$22)^2)^2+固有振動数!$P$6:$P$22^2))</f>
        <v>-0.0792462304927521</v>
      </c>
      <c r="D856" s="20" t="n">
        <f aca="false">SQRT(B856^2+C856^2)</f>
        <v>7.30107904943438</v>
      </c>
      <c r="E856" s="32" t="n">
        <f aca="false">20*LOG10(MAX(D856,0.000000000001)/$K$3)</f>
        <v>17.2677410122271</v>
      </c>
    </row>
    <row r="857" customFormat="false" ht="15" hidden="false" customHeight="false" outlineLevel="0" collapsed="false">
      <c r="A857" s="13" t="n">
        <f aca="false">A856+$F$3</f>
        <v>34040</v>
      </c>
      <c r="B857" s="20" t="n">
        <f aca="false">SUMPRODUCT(固有振動数!$Q$6:$Q$22*(1-($A857/固有振動数!$O$6:$O$22)^2)/((1-($A857/固有振動数!$O$6:$O$22)^2)^2+固有振動数!$P$6:$P$22^2))</f>
        <v>8.22813356572768</v>
      </c>
      <c r="C857" s="20" t="n">
        <f aca="false">-SUMPRODUCT(固有振動数!$Q$6:$Q$22*固有振動数!$P$6:$P$22/((1-($A857/固有振動数!$O$6:$O$22)^2)^2+固有振動数!$P$6:$P$22^2))</f>
        <v>-0.0817156731445393</v>
      </c>
      <c r="D857" s="20" t="n">
        <f aca="false">SQRT(B857^2+C857^2)</f>
        <v>8.22853932522</v>
      </c>
      <c r="E857" s="32" t="n">
        <f aca="false">20*LOG10(MAX(D857,0.000000000001)/$K$3)</f>
        <v>18.3064549805579</v>
      </c>
    </row>
    <row r="858" customFormat="false" ht="15" hidden="false" customHeight="false" outlineLevel="0" collapsed="false">
      <c r="A858" s="13" t="n">
        <f aca="false">A857+$F$3</f>
        <v>34080</v>
      </c>
      <c r="B858" s="20" t="n">
        <f aca="false">SUMPRODUCT(固有振動数!$Q$6:$Q$22*(1-($A858/固有振動数!$O$6:$O$22)^2)/((1-($A858/固有振動数!$O$6:$O$22)^2)^2+固有振動数!$P$6:$P$22^2))</f>
        <v>9.18454773473896</v>
      </c>
      <c r="C858" s="20" t="n">
        <f aca="false">-SUMPRODUCT(固有振動数!$Q$6:$Q$22*固有振動数!$P$6:$P$22/((1-($A858/固有振動数!$O$6:$O$22)^2)^2+固有振動数!$P$6:$P$22^2))</f>
        <v>-0.0847445875516696</v>
      </c>
      <c r="D858" s="20" t="n">
        <f aca="false">SQRT(B858^2+C858^2)</f>
        <v>9.184938689878</v>
      </c>
      <c r="E858" s="32" t="n">
        <f aca="false">20*LOG10(MAX(D858,0.000000000001)/$K$3)</f>
        <v>19.2615252340961</v>
      </c>
    </row>
    <row r="859" customFormat="false" ht="15" hidden="false" customHeight="false" outlineLevel="0" collapsed="false">
      <c r="A859" s="13" t="n">
        <f aca="false">A858+$F$3</f>
        <v>34120</v>
      </c>
      <c r="B859" s="20" t="n">
        <f aca="false">SUMPRODUCT(固有振動数!$Q$6:$Q$22*(1-($A859/固有振動数!$O$6:$O$22)^2)/((1-($A859/固有振動数!$O$6:$O$22)^2)^2+固有振動数!$P$6:$P$22^2))</f>
        <v>10.1766627947791</v>
      </c>
      <c r="C859" s="20" t="n">
        <f aca="false">-SUMPRODUCT(固有振動数!$Q$6:$Q$22*固有振動数!$P$6:$P$22/((1-($A859/固有振動数!$O$6:$O$22)^2)^2+固有振動数!$P$6:$P$22^2))</f>
        <v>-0.0883956896588116</v>
      </c>
      <c r="D859" s="20" t="n">
        <f aca="false">SQRT(B859^2+C859^2)</f>
        <v>10.1770466952152</v>
      </c>
      <c r="E859" s="32" t="n">
        <f aca="false">20*LOG10(MAX(D859,0.000000000001)/$K$3)</f>
        <v>20.1524353437975</v>
      </c>
    </row>
    <row r="860" customFormat="false" ht="15" hidden="false" customHeight="false" outlineLevel="0" collapsed="false">
      <c r="A860" s="13" t="n">
        <f aca="false">A859+$F$3</f>
        <v>34160</v>
      </c>
      <c r="B860" s="20" t="n">
        <f aca="false">SUMPRODUCT(固有振動数!$Q$6:$Q$22*(1-($A860/固有振動数!$O$6:$O$22)^2)/((1-($A860/固有振動数!$O$6:$O$22)^2)^2+固有振動数!$P$6:$P$22^2))</f>
        <v>11.2120413615199</v>
      </c>
      <c r="C860" s="20" t="n">
        <f aca="false">-SUMPRODUCT(固有振動数!$Q$6:$Q$22*固有振動数!$P$6:$P$22/((1-($A860/固有振動数!$O$6:$O$22)^2)^2+固有振動数!$P$6:$P$22^2))</f>
        <v>-0.0927488556376518</v>
      </c>
      <c r="D860" s="20" t="n">
        <f aca="false">SQRT(B860^2+C860^2)</f>
        <v>11.2124249760101</v>
      </c>
      <c r="E860" s="32" t="n">
        <f aca="false">20*LOG10(MAX(D860,0.000000000001)/$K$3)</f>
        <v>20.9939910026682</v>
      </c>
    </row>
    <row r="861" customFormat="false" ht="15" hidden="false" customHeight="false" outlineLevel="0" collapsed="false">
      <c r="A861" s="13" t="n">
        <f aca="false">A860+$F$3</f>
        <v>34200</v>
      </c>
      <c r="B861" s="20" t="n">
        <f aca="false">SUMPRODUCT(固有振動数!$Q$6:$Q$22*(1-($A861/固有振動数!$O$6:$O$22)^2)/((1-($A861/固有振動数!$O$6:$O$22)^2)^2+固有振動数!$P$6:$P$22^2))</f>
        <v>12.2992546967202</v>
      </c>
      <c r="C861" s="20" t="n">
        <f aca="false">-SUMPRODUCT(固有振動数!$Q$6:$Q$22*固有振動数!$P$6:$P$22/((1-($A861/固有振動数!$O$6:$O$22)^2)^2+固有振動数!$P$6:$P$22^2))</f>
        <v>-0.0979051466829251</v>
      </c>
      <c r="D861" s="20" t="n">
        <f aca="false">SQRT(B861^2+C861^2)</f>
        <v>12.2996443652872</v>
      </c>
      <c r="E861" s="32" t="n">
        <f aca="false">20*LOG10(MAX(D861,0.000000000001)/$K$3)</f>
        <v>21.7978510866315</v>
      </c>
    </row>
    <row r="862" customFormat="false" ht="15" hidden="false" customHeight="false" outlineLevel="0" collapsed="false">
      <c r="A862" s="13" t="n">
        <f aca="false">A861+$F$3</f>
        <v>34240</v>
      </c>
      <c r="B862" s="20" t="n">
        <f aca="false">SUMPRODUCT(固有振動数!$Q$6:$Q$22*(1-($A862/固有振動数!$O$6:$O$22)^2)/((1-($A862/固有振動数!$O$6:$O$22)^2)^2+固有振動数!$P$6:$P$22^2))</f>
        <v>13.448153107373</v>
      </c>
      <c r="C862" s="20" t="n">
        <f aca="false">-SUMPRODUCT(固有振動数!$Q$6:$Q$22*固有振動数!$P$6:$P$22/((1-($A862/固有振動数!$O$6:$O$22)^2)^2+固有振動数!$P$6:$P$22^2))</f>
        <v>-0.103992250824162</v>
      </c>
      <c r="D862" s="20" t="n">
        <f aca="false">SQRT(B862^2+C862^2)</f>
        <v>13.4485551784412</v>
      </c>
      <c r="E862" s="32" t="n">
        <f aca="false">20*LOG10(MAX(D862,0.000000000001)/$K$3)</f>
        <v>22.5735125838167</v>
      </c>
    </row>
    <row r="863" customFormat="false" ht="15" hidden="false" customHeight="false" outlineLevel="0" collapsed="false">
      <c r="A863" s="13" t="n">
        <f aca="false">A862+$F$3</f>
        <v>34280</v>
      </c>
      <c r="B863" s="20" t="n">
        <f aca="false">SUMPRODUCT(固有振動数!$Q$6:$Q$22*(1-($A863/固有振動数!$O$6:$O$22)^2)/((1-($A863/固有振動数!$O$6:$O$22)^2)^2+固有振動数!$P$6:$P$22^2))</f>
        <v>14.6702083475762</v>
      </c>
      <c r="C863" s="20" t="n">
        <f aca="false">-SUMPRODUCT(固有振動数!$Q$6:$Q$22*固有振動数!$P$6:$P$22/((1-($A863/固有振動数!$O$6:$O$22)^2)^2+固有振動数!$P$6:$P$22^2))</f>
        <v>-0.111171878395896</v>
      </c>
      <c r="D863" s="20" t="n">
        <f aca="false">SQRT(B863^2+C863^2)</f>
        <v>14.6706295757149</v>
      </c>
      <c r="E863" s="32" t="n">
        <f aca="false">20*LOG10(MAX(D863,0.000000000001)/$K$3)</f>
        <v>23.3289750313197</v>
      </c>
    </row>
    <row r="864" customFormat="false" ht="15" hidden="false" customHeight="false" outlineLevel="0" collapsed="false">
      <c r="A864" s="13" t="n">
        <f aca="false">A863+$F$3</f>
        <v>34320</v>
      </c>
      <c r="B864" s="20" t="n">
        <f aca="false">SUMPRODUCT(固有振動数!$Q$6:$Q$22*(1-($A864/固有振動数!$O$6:$O$22)^2)/((1-($A864/固有振動数!$O$6:$O$22)^2)^2+固有振動数!$P$6:$P$22^2))</f>
        <v>15.9789544002643</v>
      </c>
      <c r="C864" s="20" t="n">
        <f aca="false">-SUMPRODUCT(固有振動数!$Q$6:$Q$22*固有振動数!$P$6:$P$22/((1-($A864/固有振動数!$O$6:$O$22)^2)^2+固有振動数!$P$6:$P$22^2))</f>
        <v>-0.119649901070897</v>
      </c>
      <c r="D864" s="20" t="n">
        <f aca="false">SQRT(B864^2+C864^2)</f>
        <v>15.9794023613072</v>
      </c>
      <c r="E864" s="32" t="n">
        <f aca="false">20*LOG10(MAX(D864,0.000000000001)/$K$3)</f>
        <v>24.0712106484455</v>
      </c>
    </row>
    <row r="865" customFormat="false" ht="15" hidden="false" customHeight="false" outlineLevel="0" collapsed="false">
      <c r="A865" s="13" t="n">
        <f aca="false">A864+$F$3</f>
        <v>34360</v>
      </c>
      <c r="B865" s="20" t="n">
        <f aca="false">SUMPRODUCT(固有振動数!$Q$6:$Q$22*(1-($A865/固有振動数!$O$6:$O$22)^2)/((1-($A865/固有振動数!$O$6:$O$22)^2)^2+固有振動数!$P$6:$P$22^2))</f>
        <v>17.3905640275909</v>
      </c>
      <c r="C865" s="20" t="n">
        <f aca="false">-SUMPRODUCT(固有振動数!$Q$6:$Q$22*固有振動数!$P$6:$P$22/((1-($A865/固有振動数!$O$6:$O$22)^2)^2+固有振動数!$P$6:$P$22^2))</f>
        <v>-0.129690414361629</v>
      </c>
      <c r="D865" s="20" t="n">
        <f aca="false">SQRT(B865^2+C865^2)</f>
        <v>17.3910476050558</v>
      </c>
      <c r="E865" s="32" t="n">
        <f aca="false">20*LOG10(MAX(D865,0.000000000001)/$K$3)</f>
        <v>24.8065148779972</v>
      </c>
    </row>
    <row r="866" customFormat="false" ht="15" hidden="false" customHeight="false" outlineLevel="0" collapsed="false">
      <c r="A866" s="13" t="n">
        <f aca="false">A865+$F$3</f>
        <v>34400</v>
      </c>
      <c r="B866" s="20" t="n">
        <f aca="false">SUMPRODUCT(固有振動数!$Q$6:$Q$22*(1-($A866/固有振動数!$O$6:$O$22)^2)/((1-($A866/固有振動数!$O$6:$O$22)^2)^2+固有振動数!$P$6:$P$22^2))</f>
        <v>18.9246150819418</v>
      </c>
      <c r="C866" s="20" t="n">
        <f aca="false">-SUMPRODUCT(固有振動数!$Q$6:$Q$22*固有振動数!$P$6:$P$22/((1-($A866/固有振動数!$O$6:$O$22)^2)^2+固有振動数!$P$6:$P$22^2))</f>
        <v>-0.141635516950599</v>
      </c>
      <c r="D866" s="20" t="n">
        <f aca="false">SQRT(B866^2+C866^2)</f>
        <v>18.9251450884616</v>
      </c>
      <c r="E866" s="32" t="n">
        <f aca="false">20*LOG10(MAX(D866,0.000000000001)/$K$3)</f>
        <v>25.5407843535365</v>
      </c>
    </row>
    <row r="867" customFormat="false" ht="15" hidden="false" customHeight="false" outlineLevel="0" collapsed="false">
      <c r="A867" s="13" t="n">
        <f aca="false">A866+$F$3</f>
        <v>34440</v>
      </c>
      <c r="B867" s="20" t="n">
        <f aca="false">SUMPRODUCT(固有振動数!$Q$6:$Q$22*(1-($A867/固有振動数!$O$6:$O$22)^2)/((1-($A867/固有振動数!$O$6:$O$22)^2)^2+固有振動数!$P$6:$P$22^2))</f>
        <v>20.6051260744558</v>
      </c>
      <c r="C867" s="20" t="n">
        <f aca="false">-SUMPRODUCT(固有振動数!$Q$6:$Q$22*固有振動数!$P$6:$P$22/((1-($A867/固有振動数!$O$6:$O$22)^2)^2+固有振動数!$P$6:$P$22^2))</f>
        <v>-0.155933587227264</v>
      </c>
      <c r="D867" s="20" t="n">
        <f aca="false">SQRT(B867^2+C867^2)</f>
        <v>20.6057160959731</v>
      </c>
      <c r="E867" s="32" t="n">
        <f aca="false">20*LOG10(MAX(D867,0.000000000001)/$K$3)</f>
        <v>26.2797542370769</v>
      </c>
    </row>
    <row r="868" customFormat="false" ht="15" hidden="false" customHeight="false" outlineLevel="0" collapsed="false">
      <c r="A868" s="13" t="n">
        <f aca="false">A867+$F$3</f>
        <v>34480</v>
      </c>
      <c r="B868" s="20" t="n">
        <f aca="false">SUMPRODUCT(固有振動数!$Q$6:$Q$22*(1-($A868/固有振動数!$O$6:$O$22)^2)/((1-($A868/固有振動数!$O$6:$O$22)^2)^2+固有振動数!$P$6:$P$22^2))</f>
        <v>22.4619805144754</v>
      </c>
      <c r="C868" s="20" t="n">
        <f aca="false">-SUMPRODUCT(固有振動数!$Q$6:$Q$22*固有振動数!$P$6:$P$22/((1-($A868/固有振動数!$O$6:$O$22)^2)^2+固有振動数!$P$6:$P$22^2))</f>
        <v>-0.173180465004742</v>
      </c>
      <c r="D868" s="20" t="n">
        <f aca="false">SQRT(B868^2+C868^2)</f>
        <v>22.4626481098318</v>
      </c>
      <c r="E868" s="32" t="n">
        <f aca="false">20*LOG10(MAX(D868,0.000000000001)/$K$3)</f>
        <v>27.0292190738559</v>
      </c>
    </row>
    <row r="869" customFormat="false" ht="15" hidden="false" customHeight="false" outlineLevel="0" collapsed="false">
      <c r="A869" s="13" t="n">
        <f aca="false">A868+$F$3</f>
        <v>34520</v>
      </c>
      <c r="B869" s="20" t="n">
        <f aca="false">SUMPRODUCT(固有振動数!$Q$6:$Q$22*(1-($A869/固有振動数!$O$6:$O$22)^2)/((1-($A869/固有振動数!$O$6:$O$22)^2)^2+固有振動数!$P$6:$P$22^2))</f>
        <v>24.5329238292075</v>
      </c>
      <c r="C869" s="20" t="n">
        <f aca="false">-SUMPRODUCT(固有振動数!$Q$6:$Q$22*固有振動数!$P$6:$P$22/((1-($A869/固有振動数!$O$6:$O$22)^2)^2+固有振動数!$P$6:$P$22^2))</f>
        <v>-0.194180704008438</v>
      </c>
      <c r="D869" s="20" t="n">
        <f aca="false">SQRT(B869^2+C869^2)</f>
        <v>24.5336922976446</v>
      </c>
      <c r="E869" s="32" t="n">
        <f aca="false">20*LOG10(MAX(D869,0.000000000001)/$K$3)</f>
        <v>27.7952582807364</v>
      </c>
    </row>
    <row r="870" customFormat="false" ht="15" hidden="false" customHeight="false" outlineLevel="0" collapsed="false">
      <c r="A870" s="13" t="n">
        <f aca="false">A869+$F$3</f>
        <v>34560</v>
      </c>
      <c r="B870" s="20" t="n">
        <f aca="false">SUMPRODUCT(固有振動数!$Q$6:$Q$22*(1-($A870/固有振動数!$O$6:$O$22)^2)/((1-($A870/固有振動数!$O$6:$O$22)^2)^2+固有振動数!$P$6:$P$22^2))</f>
        <v>26.8664227757456</v>
      </c>
      <c r="C870" s="20" t="n">
        <f aca="false">-SUMPRODUCT(固有振動数!$Q$6:$Q$22*固有振動数!$P$6:$P$22/((1-($A870/固有振動数!$O$6:$O$22)^2)^2+固有振動数!$P$6:$P$22^2))</f>
        <v>-0.220040875905123</v>
      </c>
      <c r="D870" s="20" t="n">
        <f aca="false">SQRT(B870^2+C870^2)</f>
        <v>26.8673238479788</v>
      </c>
      <c r="E870" s="32" t="n">
        <f aca="false">20*LOG10(MAX(D870,0.000000000001)/$K$3)</f>
        <v>28.5844882032918</v>
      </c>
    </row>
    <row r="871" customFormat="false" ht="15" hidden="false" customHeight="false" outlineLevel="0" collapsed="false">
      <c r="A871" s="13" t="n">
        <f aca="false">A870+$F$3</f>
        <v>34600</v>
      </c>
      <c r="B871" s="20" t="n">
        <f aca="false">SUMPRODUCT(固有振動数!$Q$6:$Q$22*(1-($A871/固有振動数!$O$6:$O$22)^2)/((1-($A871/固有振動数!$O$6:$O$22)^2)^2+固有振動数!$P$6:$P$22^2))</f>
        <v>29.5258577021035</v>
      </c>
      <c r="C871" s="20" t="n">
        <f aca="false">-SUMPRODUCT(固有振動数!$Q$6:$Q$22*固有振動数!$P$6:$P$22/((1-($A871/固有振動数!$O$6:$O$22)^2)^2+固有振動数!$P$6:$P$22^2))</f>
        <v>-0.252315603859938</v>
      </c>
      <c r="D871" s="20" t="n">
        <f aca="false">SQRT(B871^2+C871^2)</f>
        <v>29.5269357741167</v>
      </c>
      <c r="E871" s="32" t="n">
        <f aca="false">20*LOG10(MAX(D871,0.000000000001)/$K$3)</f>
        <v>29.4043675878338</v>
      </c>
    </row>
    <row r="872" customFormat="false" ht="15" hidden="false" customHeight="false" outlineLevel="0" collapsed="false">
      <c r="A872" s="13" t="n">
        <f aca="false">A871+$F$3</f>
        <v>34640</v>
      </c>
      <c r="B872" s="20" t="n">
        <f aca="false">SUMPRODUCT(固有振動数!$Q$6:$Q$22*(1-($A872/固有振動数!$O$6:$O$22)^2)/((1-($A872/固有振動数!$O$6:$O$22)^2)^2+固有振動数!$P$6:$P$22^2))</f>
        <v>32.5958355390894</v>
      </c>
      <c r="C872" s="20" t="n">
        <f aca="false">-SUMPRODUCT(固有振動数!$Q$6:$Q$22*固有振動数!$P$6:$P$22/((1-($A872/固有振動数!$O$6:$O$22)^2)^2+固有振動数!$P$6:$P$22^2))</f>
        <v>-0.293243325764764</v>
      </c>
      <c r="D872" s="20" t="n">
        <f aca="false">SQRT(B872^2+C872^2)</f>
        <v>32.5971545712117</v>
      </c>
      <c r="E872" s="32" t="n">
        <f aca="false">20*LOG10(MAX(D872,0.000000000001)/$K$3)</f>
        <v>30.2635938369694</v>
      </c>
    </row>
    <row r="873" customFormat="false" ht="15" hidden="false" customHeight="false" outlineLevel="0" collapsed="false">
      <c r="A873" s="13" t="n">
        <f aca="false">A872+$F$3</f>
        <v>34680</v>
      </c>
      <c r="B873" s="20" t="n">
        <f aca="false">SUMPRODUCT(固有振動数!$Q$6:$Q$22*(1-($A873/固有振動数!$O$6:$O$22)^2)/((1-($A873/固有振動数!$O$6:$O$22)^2)^2+固有振動数!$P$6:$P$22^2))</f>
        <v>36.1919923604821</v>
      </c>
      <c r="C873" s="20" t="n">
        <f aca="false">-SUMPRODUCT(固有振動数!$Q$6:$Q$22*固有振動数!$P$6:$P$22/((1-($A873/固有振動数!$O$6:$O$22)^2)^2+固有振動数!$P$6:$P$22^2))</f>
        <v>-0.346140789156433</v>
      </c>
      <c r="D873" s="20" t="n">
        <f aca="false">SQRT(B873^2+C873^2)</f>
        <v>36.1936475706319</v>
      </c>
      <c r="E873" s="32" t="n">
        <f aca="false">20*LOG10(MAX(D873,0.000000000001)/$K$3)</f>
        <v>31.1726470641932</v>
      </c>
    </row>
    <row r="874" customFormat="false" ht="15" hidden="false" customHeight="false" outlineLevel="0" collapsed="false">
      <c r="A874" s="13" t="n">
        <f aca="false">A873+$F$3</f>
        <v>34720</v>
      </c>
      <c r="B874" s="20" t="n">
        <f aca="false">SUMPRODUCT(固有振動数!$Q$6:$Q$22*(1-($A874/固有振動数!$O$6:$O$22)^2)/((1-($A874/固有振動数!$O$6:$O$22)^2)^2+固有振動数!$P$6:$P$22^2))</f>
        <v>40.4767661894392</v>
      </c>
      <c r="C874" s="20" t="n">
        <f aca="false">-SUMPRODUCT(固有振動数!$Q$6:$Q$22*固有振動数!$P$6:$P$22/((1-($A874/固有振動数!$O$6:$O$22)^2)^2+固有振動数!$P$6:$P$22^2))</f>
        <v>-0.416091275768076</v>
      </c>
      <c r="D874" s="20" t="n">
        <f aca="false">SQRT(B874^2+C874^2)</f>
        <v>40.4789047913144</v>
      </c>
      <c r="E874" s="32" t="n">
        <f aca="false">20*LOG10(MAX(D874,0.000000000001)/$K$3)</f>
        <v>32.1445750719297</v>
      </c>
    </row>
    <row r="875" customFormat="false" ht="15" hidden="false" customHeight="false" outlineLevel="0" collapsed="false">
      <c r="A875" s="13" t="n">
        <f aca="false">A874+$F$3</f>
        <v>34760</v>
      </c>
      <c r="B875" s="20" t="n">
        <f aca="false">SUMPRODUCT(固有振動数!$Q$6:$Q$22*(1-($A875/固有振動数!$O$6:$O$22)^2)/((1-($A875/固有振動数!$O$6:$O$22)^2)^2+固有振動数!$P$6:$P$22^2))</f>
        <v>45.6858633262609</v>
      </c>
      <c r="C875" s="20" t="n">
        <f aca="false">-SUMPRODUCT(固有振動数!$Q$6:$Q$22*固有振動数!$P$6:$P$22/((1-($A875/固有振動数!$O$6:$O$22)^2)^2+固有振動数!$P$6:$P$22^2))</f>
        <v>-0.511205938156466</v>
      </c>
      <c r="D875" s="20" t="n">
        <f aca="false">SQRT(B875^2+C875^2)</f>
        <v>45.6887233283772</v>
      </c>
      <c r="E875" s="32" t="n">
        <f aca="false">20*LOG10(MAX(D875,0.000000000001)/$K$3)</f>
        <v>33.1961804562827</v>
      </c>
    </row>
    <row r="876" customFormat="false" ht="15" hidden="false" customHeight="false" outlineLevel="0" collapsed="false">
      <c r="A876" s="13" t="n">
        <f aca="false">A875+$F$3</f>
        <v>34800</v>
      </c>
      <c r="B876" s="20" t="n">
        <f aca="false">SUMPRODUCT(固有振動数!$Q$6:$Q$22*(1-($A876/固有振動数!$O$6:$O$22)^2)/((1-($A876/固有振動数!$O$6:$O$22)^2)^2+固有振動数!$P$6:$P$22^2))</f>
        <v>52.1749551848937</v>
      </c>
      <c r="C876" s="20" t="n">
        <f aca="false">-SUMPRODUCT(固有振動数!$Q$6:$Q$22*固有振動数!$P$6:$P$22/((1-($A876/固有振動数!$O$6:$O$22)^2)^2+固有振動数!$P$6:$P$22^2))</f>
        <v>-0.645076466154974</v>
      </c>
      <c r="D876" s="20" t="n">
        <f aca="false">SQRT(B876^2+C876^2)</f>
        <v>52.1789428044767</v>
      </c>
      <c r="E876" s="32" t="n">
        <f aca="false">20*LOG10(MAX(D876,0.000000000001)/$K$3)</f>
        <v>34.3499055125959</v>
      </c>
    </row>
    <row r="877" customFormat="false" ht="15" hidden="false" customHeight="false" outlineLevel="0" collapsed="false">
      <c r="A877" s="13" t="n">
        <f aca="false">A876+$F$3</f>
        <v>34840</v>
      </c>
      <c r="B877" s="20" t="n">
        <f aca="false">SUMPRODUCT(固有振動数!$Q$6:$Q$22*(1-($A877/固有振動数!$O$6:$O$22)^2)/((1-($A877/固有振動数!$O$6:$O$22)^2)^2+固有振動数!$P$6:$P$22^2))</f>
        <v>60.5072802401394</v>
      </c>
      <c r="C877" s="20" t="n">
        <f aca="false">-SUMPRODUCT(固有振動数!$Q$6:$Q$22*固有振動数!$P$6:$P$22/((1-($A877/固有振動数!$O$6:$O$22)^2)^2+固有振動数!$P$6:$P$22^2))</f>
        <v>-0.841902867979566</v>
      </c>
      <c r="D877" s="20" t="n">
        <f aca="false">SQRT(B877^2+C877^2)</f>
        <v>60.5131371067298</v>
      </c>
      <c r="E877" s="32" t="n">
        <f aca="false">20*LOG10(MAX(D877,0.000000000001)/$K$3)</f>
        <v>35.636993362012</v>
      </c>
    </row>
    <row r="878" customFormat="false" ht="15" hidden="false" customHeight="false" outlineLevel="0" collapsed="false">
      <c r="A878" s="13" t="n">
        <f aca="false">A877+$F$3</f>
        <v>34880</v>
      </c>
      <c r="B878" s="20" t="n">
        <f aca="false">SUMPRODUCT(固有振動数!$Q$6:$Q$22*(1-($A878/固有振動数!$O$6:$O$22)^2)/((1-($A878/固有振動数!$O$6:$O$22)^2)^2+固有振動数!$P$6:$P$22^2))</f>
        <v>71.6310934504758</v>
      </c>
      <c r="C878" s="20" t="n">
        <f aca="false">-SUMPRODUCT(固有振動数!$Q$6:$Q$22*固有振動数!$P$6:$P$22/((1-($A878/固有振動数!$O$6:$O$22)^2)^2+固有振動数!$P$6:$P$22^2))</f>
        <v>-1.14823619617737</v>
      </c>
      <c r="D878" s="20" t="n">
        <f aca="false">SQRT(B878^2+C878^2)</f>
        <v>71.6402958904624</v>
      </c>
      <c r="E878" s="32" t="n">
        <f aca="false">20*LOG10(MAX(D878,0.000000000001)/$K$3)</f>
        <v>37.103147418283</v>
      </c>
    </row>
    <row r="879" customFormat="false" ht="15" hidden="false" customHeight="false" outlineLevel="0" collapsed="false">
      <c r="A879" s="13" t="n">
        <f aca="false">A878+$F$3</f>
        <v>34920</v>
      </c>
      <c r="B879" s="20" t="n">
        <f aca="false">SUMPRODUCT(固有振動数!$Q$6:$Q$22*(1-($A879/固有振動数!$O$6:$O$22)^2)/((1-($A879/固有振動数!$O$6:$O$22)^2)^2+固有振動数!$P$6:$P$22^2))</f>
        <v>87.2766000631902</v>
      </c>
      <c r="C879" s="20" t="n">
        <f aca="false">-SUMPRODUCT(固有振動数!$Q$6:$Q$22*固有振動数!$P$6:$P$22/((1-($A879/固有振動数!$O$6:$O$22)^2)^2+固有振動数!$P$6:$P$22^2))</f>
        <v>-1.66324608141373</v>
      </c>
      <c r="D879" s="20" t="n">
        <f aca="false">SQRT(B879^2+C879^2)</f>
        <v>87.2924470164366</v>
      </c>
      <c r="E879" s="32" t="n">
        <f aca="false">20*LOG10(MAX(D879,0.000000000001)/$K$3)</f>
        <v>38.8195333595662</v>
      </c>
    </row>
    <row r="880" customFormat="false" ht="15" hidden="false" customHeight="false" outlineLevel="0" collapsed="false">
      <c r="A880" s="13" t="n">
        <f aca="false">A879+$F$3</f>
        <v>34960</v>
      </c>
      <c r="B880" s="20" t="n">
        <f aca="false">SUMPRODUCT(固有振動数!$Q$6:$Q$22*(1-($A880/固有振動数!$O$6:$O$22)^2)/((1-($A880/固有振動数!$O$6:$O$22)^2)^2+固有振動数!$P$6:$P$22^2))</f>
        <v>110.971139335549</v>
      </c>
      <c r="C880" s="20" t="n">
        <f aca="false">-SUMPRODUCT(固有振動数!$Q$6:$Q$22*固有振動数!$P$6:$P$22/((1-($A880/固有振動数!$O$6:$O$22)^2)^2+固有振動数!$P$6:$P$22^2))</f>
        <v>-2.63035986838077</v>
      </c>
      <c r="D880" s="20" t="n">
        <f aca="false">SQRT(B880^2+C880^2)</f>
        <v>111.002308797912</v>
      </c>
      <c r="E880" s="32" t="n">
        <f aca="false">20*LOG10(MAX(D880,0.000000000001)/$K$3)</f>
        <v>40.9066402401953</v>
      </c>
    </row>
    <row r="881" customFormat="false" ht="15" hidden="false" customHeight="false" outlineLevel="0" collapsed="false">
      <c r="A881" s="13" t="n">
        <f aca="false">A880+$F$3</f>
        <v>35000</v>
      </c>
      <c r="B881" s="20" t="n">
        <f aca="false">SUMPRODUCT(固有振動数!$Q$6:$Q$22*(1-($A881/固有振動数!$O$6:$O$22)^2)/((1-($A881/固有振動数!$O$6:$O$22)^2)^2+固有振動数!$P$6:$P$22^2))</f>
        <v>151.188522127444</v>
      </c>
      <c r="C881" s="20" t="n">
        <f aca="false">-SUMPRODUCT(固有振動数!$Q$6:$Q$22*固有振動数!$P$6:$P$22/((1-($A881/固有振動数!$O$6:$O$22)^2)^2+固有振動数!$P$6:$P$22^2))</f>
        <v>-4.78815837067255</v>
      </c>
      <c r="D881" s="20" t="n">
        <f aca="false">SQRT(B881^2+C881^2)</f>
        <v>151.264323895832</v>
      </c>
      <c r="E881" s="32" t="n">
        <f aca="false">20*LOG10(MAX(D881,0.000000000001)/$K$3)</f>
        <v>43.5947302112006</v>
      </c>
    </row>
    <row r="882" customFormat="false" ht="15" hidden="false" customHeight="false" outlineLevel="0" collapsed="false">
      <c r="A882" s="13" t="n">
        <f aca="false">A881+$F$3</f>
        <v>35040</v>
      </c>
      <c r="B882" s="20" t="n">
        <f aca="false">SUMPRODUCT(固有振動数!$Q$6:$Q$22*(1-($A882/固有振動数!$O$6:$O$22)^2)/((1-($A882/固有振動数!$O$6:$O$22)^2)^2+固有振動数!$P$6:$P$22^2))</f>
        <v>234.671333997712</v>
      </c>
      <c r="C882" s="20" t="n">
        <f aca="false">-SUMPRODUCT(固有振動数!$Q$6:$Q$22*固有振動数!$P$6:$P$22/((1-($A882/固有振動数!$O$6:$O$22)^2)^2+固有振動数!$P$6:$P$22^2))</f>
        <v>-11.3477983772073</v>
      </c>
      <c r="D882" s="20" t="n">
        <f aca="false">SQRT(B882^2+C882^2)</f>
        <v>234.945541622469</v>
      </c>
      <c r="E882" s="32" t="n">
        <f aca="false">20*LOG10(MAX(D882,0.000000000001)/$K$3)</f>
        <v>47.4193441634185</v>
      </c>
    </row>
    <row r="883" customFormat="false" ht="15" hidden="false" customHeight="false" outlineLevel="0" collapsed="false">
      <c r="A883" s="13" t="n">
        <f aca="false">A882+$F$3</f>
        <v>35080</v>
      </c>
      <c r="B883" s="20" t="n">
        <f aca="false">SUMPRODUCT(固有振動数!$Q$6:$Q$22*(1-($A883/固有振動数!$O$6:$O$22)^2)/((1-($A883/固有振動数!$O$6:$O$22)^2)^2+固有振動数!$P$6:$P$22^2))</f>
        <v>512.060634321551</v>
      </c>
      <c r="C883" s="20" t="n">
        <f aca="false">-SUMPRODUCT(固有振動数!$Q$6:$Q$22*固有振動数!$P$6:$P$22/((1-($A883/固有振動数!$O$6:$O$22)^2)^2+固有振動数!$P$6:$P$22^2))</f>
        <v>-53.6445787066805</v>
      </c>
      <c r="D883" s="20" t="n">
        <f aca="false">SQRT(B883^2+C883^2)</f>
        <v>514.862927434484</v>
      </c>
      <c r="E883" s="32" t="n">
        <f aca="false">20*LOG10(MAX(D883,0.000000000001)/$K$3)</f>
        <v>54.2338324339317</v>
      </c>
    </row>
    <row r="884" customFormat="false" ht="15" hidden="false" customHeight="false" outlineLevel="0" collapsed="false">
      <c r="A884" s="13" t="n">
        <f aca="false">A883+$F$3</f>
        <v>35120</v>
      </c>
      <c r="B884" s="20" t="n">
        <f aca="false">SUMPRODUCT(固有振動数!$Q$6:$Q$22*(1-($A884/固有振動数!$O$6:$O$22)^2)/((1-($A884/固有振動数!$O$6:$O$22)^2)^2+固有振動数!$P$6:$P$22^2))</f>
        <v>-2135.68048641552</v>
      </c>
      <c r="C884" s="20" t="n">
        <f aca="false">-SUMPRODUCT(固有振動数!$Q$6:$Q$22*固有振動数!$P$6:$P$22/((1-($A884/固有振動数!$O$6:$O$22)^2)^2+固有振動数!$P$6:$P$22^2))</f>
        <v>-1195.73971204649</v>
      </c>
      <c r="D884" s="20" t="n">
        <f aca="false">SQRT(B884^2+C884^2)</f>
        <v>2447.63653327471</v>
      </c>
      <c r="E884" s="32" t="n">
        <f aca="false">20*LOG10(MAX(D884,0.000000000001)/$K$3)</f>
        <v>67.7749385365227</v>
      </c>
    </row>
    <row r="885" customFormat="false" ht="15" hidden="false" customHeight="false" outlineLevel="0" collapsed="false">
      <c r="A885" s="13" t="n">
        <f aca="false">A884+$F$3</f>
        <v>35160</v>
      </c>
      <c r="B885" s="20" t="n">
        <f aca="false">SUMPRODUCT(固有振動数!$Q$6:$Q$22*(1-($A885/固有振動数!$O$6:$O$22)^2)/((1-($A885/固有振動数!$O$6:$O$22)^2)^2+固有振動数!$P$6:$P$22^2))</f>
        <v>-379.82666819848</v>
      </c>
      <c r="C885" s="20" t="n">
        <f aca="false">-SUMPRODUCT(固有振動数!$Q$6:$Q$22*固有振動数!$P$6:$P$22/((1-($A885/固有振動数!$O$6:$O$22)^2)^2+固有振動数!$P$6:$P$22^2))</f>
        <v>-28.6128900659548</v>
      </c>
      <c r="D885" s="20" t="n">
        <f aca="false">SQRT(B885^2+C885^2)</f>
        <v>380.902868659038</v>
      </c>
      <c r="E885" s="32" t="n">
        <f aca="false">20*LOG10(MAX(D885,0.000000000001)/$K$3)</f>
        <v>51.6162848687138</v>
      </c>
    </row>
    <row r="886" customFormat="false" ht="15" hidden="false" customHeight="false" outlineLevel="0" collapsed="false">
      <c r="A886" s="13" t="n">
        <f aca="false">A885+$F$3</f>
        <v>35200</v>
      </c>
      <c r="B886" s="20" t="n">
        <f aca="false">SUMPRODUCT(固有振動数!$Q$6:$Q$22*(1-($A886/固有振動数!$O$6:$O$22)^2)/((1-($A886/固有振動数!$O$6:$O$22)^2)^2+固有振動数!$P$6:$P$22^2))</f>
        <v>-205.558521643572</v>
      </c>
      <c r="C886" s="20" t="n">
        <f aca="false">-SUMPRODUCT(固有振動数!$Q$6:$Q$22*固有振動数!$P$6:$P$22/((1-($A886/固有振動数!$O$6:$O$22)^2)^2+固有振動数!$P$6:$P$22^2))</f>
        <v>-8.26123789746023</v>
      </c>
      <c r="D886" s="20" t="n">
        <f aca="false">SQRT(B886^2+C886^2)</f>
        <v>205.72446104411</v>
      </c>
      <c r="E886" s="32" t="n">
        <f aca="false">20*LOG10(MAX(D886,0.000000000001)/$K$3)</f>
        <v>46.2657186647052</v>
      </c>
    </row>
    <row r="887" customFormat="false" ht="15" hidden="false" customHeight="false" outlineLevel="0" collapsed="false">
      <c r="A887" s="13" t="n">
        <f aca="false">A886+$F$3</f>
        <v>35240</v>
      </c>
      <c r="B887" s="20" t="n">
        <f aca="false">SUMPRODUCT(固有振動数!$Q$6:$Q$22*(1-($A887/固有振動数!$O$6:$O$22)^2)/((1-($A887/固有振動数!$O$6:$O$22)^2)^2+固有振動数!$P$6:$P$22^2))</f>
        <v>-141.186152072015</v>
      </c>
      <c r="C887" s="20" t="n">
        <f aca="false">-SUMPRODUCT(固有振動数!$Q$6:$Q$22*固有振動数!$P$6:$P$22/((1-($A887/固有振動数!$O$6:$O$22)^2)^2+固有振動数!$P$6:$P$22^2))</f>
        <v>-3.86041982555351</v>
      </c>
      <c r="D887" s="20" t="n">
        <f aca="false">SQRT(B887^2+C887^2)</f>
        <v>141.238919487978</v>
      </c>
      <c r="E887" s="32" t="n">
        <f aca="false">20*LOG10(MAX(D887,0.000000000001)/$K$3)</f>
        <v>42.999087728911</v>
      </c>
    </row>
    <row r="888" customFormat="false" ht="15" hidden="false" customHeight="false" outlineLevel="0" collapsed="false">
      <c r="A888" s="13" t="n">
        <f aca="false">A887+$F$3</f>
        <v>35280</v>
      </c>
      <c r="B888" s="20" t="n">
        <f aca="false">SUMPRODUCT(固有振動数!$Q$6:$Q$22*(1-($A888/固有振動数!$O$6:$O$22)^2)/((1-($A888/固有振動数!$O$6:$O$22)^2)^2+固有振動数!$P$6:$P$22^2))</f>
        <v>-107.672522049085</v>
      </c>
      <c r="C888" s="20" t="n">
        <f aca="false">-SUMPRODUCT(固有振動数!$Q$6:$Q$22*固有振動数!$P$6:$P$22/((1-($A888/固有振動数!$O$6:$O$22)^2)^2+固有振動数!$P$6:$P$22^2))</f>
        <v>-2.22870544980124</v>
      </c>
      <c r="D888" s="20" t="n">
        <f aca="false">SQRT(B888^2+C888^2)</f>
        <v>107.69558548238</v>
      </c>
      <c r="E888" s="32" t="n">
        <f aca="false">20*LOG10(MAX(D888,0.000000000001)/$K$3)</f>
        <v>40.6439580325454</v>
      </c>
    </row>
    <row r="889" customFormat="false" ht="15" hidden="false" customHeight="false" outlineLevel="0" collapsed="false">
      <c r="A889" s="13" t="n">
        <f aca="false">A888+$F$3</f>
        <v>35320</v>
      </c>
      <c r="B889" s="20" t="n">
        <f aca="false">SUMPRODUCT(固有振動数!$Q$6:$Q$22*(1-($A889/固有振動数!$O$6:$O$22)^2)/((1-($A889/固有振動数!$O$6:$O$22)^2)^2+固有振動数!$P$6:$P$22^2))</f>
        <v>-87.0985902433273</v>
      </c>
      <c r="C889" s="20" t="n">
        <f aca="false">-SUMPRODUCT(固有振動数!$Q$6:$Q$22*固有振動数!$P$6:$P$22/((1-($A889/固有振動数!$O$6:$O$22)^2)^2+固有振動数!$P$6:$P$22^2))</f>
        <v>-1.45003424097092</v>
      </c>
      <c r="D889" s="20" t="n">
        <f aca="false">SQRT(B889^2+C889^2)</f>
        <v>87.1106596328774</v>
      </c>
      <c r="E889" s="32" t="n">
        <f aca="false">20*LOG10(MAX(D889,0.000000000001)/$K$3)</f>
        <v>38.8014260476797</v>
      </c>
    </row>
    <row r="890" customFormat="false" ht="15" hidden="false" customHeight="false" outlineLevel="0" collapsed="false">
      <c r="A890" s="13" t="n">
        <f aca="false">A889+$F$3</f>
        <v>35360</v>
      </c>
      <c r="B890" s="20" t="n">
        <f aca="false">SUMPRODUCT(固有振動数!$Q$6:$Q$22*(1-($A890/固有振動数!$O$6:$O$22)^2)/((1-($A890/固有振動数!$O$6:$O$22)^2)^2+固有振動数!$P$6:$P$22^2))</f>
        <v>-73.167368588424</v>
      </c>
      <c r="C890" s="20" t="n">
        <f aca="false">-SUMPRODUCT(固有振動数!$Q$6:$Q$22*固有振動数!$P$6:$P$22/((1-($A890/固有振動数!$O$6:$O$22)^2)^2+固有振動数!$P$6:$P$22^2))</f>
        <v>-1.01895019546002</v>
      </c>
      <c r="D890" s="20" t="n">
        <f aca="false">SQRT(B890^2+C890^2)</f>
        <v>73.1744633438136</v>
      </c>
      <c r="E890" s="32" t="n">
        <f aca="false">20*LOG10(MAX(D890,0.000000000001)/$K$3)</f>
        <v>37.287190920668</v>
      </c>
    </row>
    <row r="891" customFormat="false" ht="15" hidden="false" customHeight="false" outlineLevel="0" collapsed="false">
      <c r="A891" s="13" t="n">
        <f aca="false">A890+$F$3</f>
        <v>35400</v>
      </c>
      <c r="B891" s="20" t="n">
        <f aca="false">SUMPRODUCT(固有振動数!$Q$6:$Q$22*(1-($A891/固有振動数!$O$6:$O$22)^2)/((1-($A891/固有振動数!$O$6:$O$22)^2)^2+固有振動数!$P$6:$P$22^2))</f>
        <v>-63.097376916799</v>
      </c>
      <c r="C891" s="20" t="n">
        <f aca="false">-SUMPRODUCT(固有振動数!$Q$6:$Q$22*固有振動数!$P$6:$P$22/((1-($A891/固有振動数!$O$6:$O$22)^2)^2+固有振動数!$P$6:$P$22^2))</f>
        <v>-0.755632476876424</v>
      </c>
      <c r="D891" s="20" t="n">
        <f aca="false">SQRT(B891^2+C891^2)</f>
        <v>63.1019013518666</v>
      </c>
      <c r="E891" s="32" t="n">
        <f aca="false">20*LOG10(MAX(D891,0.000000000001)/$K$3)</f>
        <v>36.0008489072863</v>
      </c>
    </row>
    <row r="892" customFormat="false" ht="15" hidden="false" customHeight="false" outlineLevel="0" collapsed="false">
      <c r="A892" s="13" t="n">
        <f aca="false">A891+$F$3</f>
        <v>35440</v>
      </c>
      <c r="B892" s="20" t="n">
        <f aca="false">SUMPRODUCT(固有振動数!$Q$6:$Q$22*(1-($A892/固有振動数!$O$6:$O$22)^2)/((1-($A892/固有振動数!$O$6:$O$22)^2)^2+固有振動数!$P$6:$P$22^2))</f>
        <v>-55.4700258368881</v>
      </c>
      <c r="C892" s="20" t="n">
        <f aca="false">-SUMPRODUCT(固有振動数!$Q$6:$Q$22*固有振動数!$P$6:$P$22/((1-($A892/固有振動数!$O$6:$O$22)^2)^2+固有振動数!$P$6:$P$22^2))</f>
        <v>-0.583112608785854</v>
      </c>
      <c r="D892" s="20" t="n">
        <f aca="false">SQRT(B892^2+C892^2)</f>
        <v>55.4730906535733</v>
      </c>
      <c r="E892" s="32" t="n">
        <f aca="false">20*LOG10(MAX(D892,0.000000000001)/$K$3)</f>
        <v>34.8816472607533</v>
      </c>
    </row>
    <row r="893" customFormat="false" ht="15" hidden="false" customHeight="false" outlineLevel="0" collapsed="false">
      <c r="A893" s="13" t="n">
        <f aca="false">A892+$F$3</f>
        <v>35480</v>
      </c>
      <c r="B893" s="20" t="n">
        <f aca="false">SUMPRODUCT(固有振動数!$Q$6:$Q$22*(1-($A893/固有振動数!$O$6:$O$22)^2)/((1-($A893/固有振動数!$O$6:$O$22)^2)^2+固有振動数!$P$6:$P$22^2))</f>
        <v>-49.4860109859491</v>
      </c>
      <c r="C893" s="20" t="n">
        <f aca="false">-SUMPRODUCT(固有振動数!$Q$6:$Q$22*固有振動数!$P$6:$P$22/((1-($A893/固有振動数!$O$6:$O$22)^2)^2+固有振動数!$P$6:$P$22^2))</f>
        <v>-0.463982315677753</v>
      </c>
      <c r="D893" s="20" t="n">
        <f aca="false">SQRT(B893^2+C893^2)</f>
        <v>49.4881860941653</v>
      </c>
      <c r="E893" s="32" t="n">
        <f aca="false">20*LOG10(MAX(D893,0.000000000001)/$K$3)</f>
        <v>33.8900307154506</v>
      </c>
    </row>
    <row r="894" customFormat="false" ht="15" hidden="false" customHeight="false" outlineLevel="0" collapsed="false">
      <c r="A894" s="13" t="n">
        <f aca="false">A893+$F$3</f>
        <v>35520</v>
      </c>
      <c r="B894" s="20" t="n">
        <f aca="false">SUMPRODUCT(固有振動数!$Q$6:$Q$22*(1-($A894/固有振動数!$O$6:$O$22)^2)/((1-($A894/固有振動数!$O$6:$O$22)^2)^2+固有振動数!$P$6:$P$22^2))</f>
        <v>-44.6606370317253</v>
      </c>
      <c r="C894" s="20" t="n">
        <f aca="false">-SUMPRODUCT(固有振動数!$Q$6:$Q$22*固有振動数!$P$6:$P$22/((1-($A894/固有振動数!$O$6:$O$22)^2)^2+固有振動数!$P$6:$P$22^2))</f>
        <v>-0.378284995632483</v>
      </c>
      <c r="D894" s="20" t="n">
        <f aca="false">SQRT(B894^2+C894^2)</f>
        <v>44.6622390797577</v>
      </c>
      <c r="E894" s="32" t="n">
        <f aca="false">20*LOG10(MAX(D894,0.000000000001)/$K$3)</f>
        <v>32.9988098407216</v>
      </c>
    </row>
    <row r="895" customFormat="false" ht="15" hidden="false" customHeight="false" outlineLevel="0" collapsed="false">
      <c r="A895" s="13" t="n">
        <f aca="false">A894+$F$3</f>
        <v>35560</v>
      </c>
      <c r="B895" s="20" t="n">
        <f aca="false">SUMPRODUCT(固有振動数!$Q$6:$Q$22*(1-($A895/固有振動数!$O$6:$O$22)^2)/((1-($A895/固有振動数!$O$6:$O$22)^2)^2+固有振動数!$P$6:$P$22^2))</f>
        <v>-40.6828925905106</v>
      </c>
      <c r="C895" s="20" t="n">
        <f aca="false">-SUMPRODUCT(固有振動数!$Q$6:$Q$22*固有振動数!$P$6:$P$22/((1-($A895/固有振動数!$O$6:$O$22)^2)^2+固有振動数!$P$6:$P$22^2))</f>
        <v>-0.314585618311266</v>
      </c>
      <c r="D895" s="20" t="n">
        <f aca="false">SQRT(B895^2+C895^2)</f>
        <v>40.6841088588931</v>
      </c>
      <c r="E895" s="32" t="n">
        <f aca="false">20*LOG10(MAX(D895,0.000000000001)/$K$3)</f>
        <v>32.1884961537611</v>
      </c>
    </row>
    <row r="896" customFormat="false" ht="15" hidden="false" customHeight="false" outlineLevel="0" collapsed="false">
      <c r="A896" s="13" t="n">
        <f aca="false">A895+$F$3</f>
        <v>35600</v>
      </c>
      <c r="B896" s="20" t="n">
        <f aca="false">SUMPRODUCT(固有振動数!$Q$6:$Q$22*(1-($A896/固有振動数!$O$6:$O$22)^2)/((1-($A896/固有振動数!$O$6:$O$22)^2)^2+固有振動数!$P$6:$P$22^2))</f>
        <v>-37.3440446179481</v>
      </c>
      <c r="C896" s="20" t="n">
        <f aca="false">-SUMPRODUCT(固有振動数!$Q$6:$Q$22*固有振動数!$P$6:$P$22/((1-($A896/固有振動数!$O$6:$O$22)^2)^2+固有振動数!$P$6:$P$22^2))</f>
        <v>-0.265950178876517</v>
      </c>
      <c r="D896" s="20" t="n">
        <f aca="false">SQRT(B896^2+C896^2)</f>
        <v>37.344991604296</v>
      </c>
      <c r="E896" s="32" t="n">
        <f aca="false">20*LOG10(MAX(D896,0.000000000001)/$K$3)</f>
        <v>31.4446473227792</v>
      </c>
    </row>
    <row r="897" customFormat="false" ht="15" hidden="false" customHeight="false" outlineLevel="0" collapsed="false">
      <c r="A897" s="13" t="n">
        <f aca="false">A896+$F$3</f>
        <v>35640</v>
      </c>
      <c r="B897" s="20" t="n">
        <f aca="false">SUMPRODUCT(固有振動数!$Q$6:$Q$22*(1-($A897/固有振動数!$O$6:$O$22)^2)/((1-($A897/固有振動数!$O$6:$O$22)^2)^2+固有振動数!$P$6:$P$22^2))</f>
        <v>-34.4987832527122</v>
      </c>
      <c r="C897" s="20" t="n">
        <f aca="false">-SUMPRODUCT(固有振動数!$Q$6:$Q$22*固有振動数!$P$6:$P$22/((1-($A897/固有振動数!$O$6:$O$22)^2)^2+固有振動数!$P$6:$P$22^2))</f>
        <v>-0.227975891683098</v>
      </c>
      <c r="D897" s="20" t="n">
        <f aca="false">SQRT(B897^2+C897^2)</f>
        <v>34.4995365030431</v>
      </c>
      <c r="E897" s="32" t="n">
        <f aca="false">20*LOG10(MAX(D897,0.000000000001)/$K$3)</f>
        <v>30.7562652084087</v>
      </c>
    </row>
    <row r="898" customFormat="false" ht="15" hidden="false" customHeight="false" outlineLevel="0" collapsed="false">
      <c r="A898" s="13" t="n">
        <f aca="false">A897+$F$3</f>
        <v>35680</v>
      </c>
      <c r="B898" s="20" t="n">
        <f aca="false">SUMPRODUCT(固有振動数!$Q$6:$Q$22*(1-($A898/固有振動数!$O$6:$O$22)^2)/((1-($A898/固有振動数!$O$6:$O$22)^2)^2+固有振動数!$P$6:$P$22^2))</f>
        <v>-32.0428287959727</v>
      </c>
      <c r="C898" s="20" t="n">
        <f aca="false">-SUMPRODUCT(固有振動数!$Q$6:$Q$22*固有振動数!$P$6:$P$22/((1-($A898/固有振動数!$O$6:$O$22)^2)^2+固有振動数!$P$6:$P$22^2))</f>
        <v>-0.197758330729796</v>
      </c>
      <c r="D898" s="20" t="n">
        <f aca="false">SQRT(B898^2+C898^2)</f>
        <v>32.0434390414854</v>
      </c>
      <c r="E898" s="32" t="n">
        <f aca="false">20*LOG10(MAX(D898,0.000000000001)/$K$3)</f>
        <v>30.1147824057907</v>
      </c>
    </row>
    <row r="899" customFormat="false" ht="15" hidden="false" customHeight="false" outlineLevel="0" collapsed="false">
      <c r="A899" s="13" t="n">
        <f aca="false">A898+$F$3</f>
        <v>35720</v>
      </c>
      <c r="B899" s="20" t="n">
        <f aca="false">SUMPRODUCT(固有振動数!$Q$6:$Q$22*(1-($A899/固有振動数!$O$6:$O$22)^2)/((1-($A899/固有振動数!$O$6:$O$22)^2)^2+固有振動数!$P$6:$P$22^2))</f>
        <v>-29.8994006219309</v>
      </c>
      <c r="C899" s="20" t="n">
        <f aca="false">-SUMPRODUCT(固有振動数!$Q$6:$Q$22*固有振動数!$P$6:$P$22/((1-($A899/固有振動数!$O$6:$O$22)^2)^2+固有振動数!$P$6:$P$22^2))</f>
        <v>-0.173318772519312</v>
      </c>
      <c r="D899" s="20" t="n">
        <f aca="false">SQRT(B899^2+C899^2)</f>
        <v>29.899902958833</v>
      </c>
      <c r="E899" s="32" t="n">
        <f aca="false">20*LOG10(MAX(D899,0.000000000001)/$K$3)</f>
        <v>29.5133955761797</v>
      </c>
    </row>
    <row r="900" customFormat="false" ht="15" hidden="false" customHeight="false" outlineLevel="0" collapsed="false">
      <c r="A900" s="13" t="n">
        <f aca="false">A899+$F$3</f>
        <v>35760</v>
      </c>
      <c r="B900" s="20" t="n">
        <f aca="false">SUMPRODUCT(固有振動数!$Q$6:$Q$22*(1-($A900/固有振動数!$O$6:$O$22)^2)/((1-($A900/固有振動数!$O$6:$O$22)^2)^2+固有振動数!$P$6:$P$22^2))</f>
        <v>-28.0107096985298</v>
      </c>
      <c r="C900" s="20" t="n">
        <f aca="false">-SUMPRODUCT(固有振動数!$Q$6:$Q$22*固有振動数!$P$6:$P$22/((1-($A900/固有振動数!$O$6:$O$22)^2)^2+固有振動数!$P$6:$P$22^2))</f>
        <v>-0.153271498900594</v>
      </c>
      <c r="D900" s="20" t="n">
        <f aca="false">SQRT(B900^2+C900^2)</f>
        <v>28.011129037718</v>
      </c>
      <c r="E900" s="32" t="n">
        <f aca="false">20*LOG10(MAX(D900,0.000000000001)/$K$3)</f>
        <v>28.9466122835536</v>
      </c>
    </row>
    <row r="901" customFormat="false" ht="15" hidden="false" customHeight="false" outlineLevel="0" collapsed="false">
      <c r="A901" s="13" t="n">
        <f aca="false">A900+$F$3</f>
        <v>35800</v>
      </c>
      <c r="B901" s="20" t="n">
        <f aca="false">SUMPRODUCT(固有振動数!$Q$6:$Q$22*(1-($A901/固有振動数!$O$6:$O$22)^2)/((1-($A901/固有振動数!$O$6:$O$22)^2)^2+固有振動数!$P$6:$P$22^2))</f>
        <v>-26.3324256100731</v>
      </c>
      <c r="C901" s="20" t="n">
        <f aca="false">-SUMPRODUCT(固有振動数!$Q$6:$Q$22*固有振動数!$P$6:$P$22/((1-($A901/固有振動数!$O$6:$O$22)^2)^2+固有振動数!$P$6:$P$22^2))</f>
        <v>-0.136622669957833</v>
      </c>
      <c r="D901" s="20" t="n">
        <f aca="false">SQRT(B901^2+C901^2)</f>
        <v>26.3327800329547</v>
      </c>
      <c r="E901" s="32" t="n">
        <f aca="false">20*LOG10(MAX(D901,0.000000000001)/$K$3)</f>
        <v>28.4099342267378</v>
      </c>
    </row>
    <row r="902" customFormat="false" ht="15" hidden="false" customHeight="false" outlineLevel="0" collapsed="false">
      <c r="A902" s="13" t="n">
        <f aca="false">A901+$F$3</f>
        <v>35840</v>
      </c>
      <c r="B902" s="20" t="n">
        <f aca="false">SUMPRODUCT(固有振動数!$Q$6:$Q$22*(1-($A902/固有振動数!$O$6:$O$22)^2)/((1-($A902/固有振動数!$O$6:$O$22)^2)^2+固有振動数!$P$6:$P$22^2))</f>
        <v>-24.8299715827263</v>
      </c>
      <c r="C902" s="20" t="n">
        <f aca="false">-SUMPRODUCT(固有振動数!$Q$6:$Q$22*固有振動数!$P$6:$P$22/((1-($A902/固有振動数!$O$6:$O$22)^2)^2+固有振動数!$P$6:$P$22^2))</f>
        <v>-0.122644498902442</v>
      </c>
      <c r="D902" s="20" t="n">
        <f aca="false">SQRT(B902^2+C902^2)</f>
        <v>24.8302744743611</v>
      </c>
      <c r="E902" s="32" t="n">
        <f aca="false">20*LOG10(MAX(D902,0.000000000001)/$K$3)</f>
        <v>27.8996304056234</v>
      </c>
    </row>
    <row r="903" customFormat="false" ht="15" hidden="false" customHeight="false" outlineLevel="0" collapsed="false">
      <c r="A903" s="13" t="n">
        <f aca="false">A902+$F$3</f>
        <v>35880</v>
      </c>
      <c r="B903" s="20" t="n">
        <f aca="false">SUMPRODUCT(固有振動数!$Q$6:$Q$22*(1-($A903/固有振動数!$O$6:$O$22)^2)/((1-($A903/固有振動数!$O$6:$O$22)^2)^2+固有振動数!$P$6:$P$22^2))</f>
        <v>-23.4759796868181</v>
      </c>
      <c r="C903" s="20" t="n">
        <f aca="false">-SUMPRODUCT(固有振動数!$Q$6:$Q$22*固有振動数!$P$6:$P$22/((1-($A903/固有振動数!$O$6:$O$22)^2)^2+固有振動数!$P$6:$P$22^2))</f>
        <v>-0.110794152604371</v>
      </c>
      <c r="D903" s="20" t="n">
        <f aca="false">SQRT(B903^2+C903^2)</f>
        <v>23.4762411301329</v>
      </c>
      <c r="E903" s="32" t="n">
        <f aca="false">20*LOG10(MAX(D903,0.000000000001)/$K$3)</f>
        <v>27.4125712321556</v>
      </c>
    </row>
    <row r="904" customFormat="false" ht="15" hidden="false" customHeight="false" outlineLevel="0" collapsed="false">
      <c r="A904" s="13" t="n">
        <f aca="false">A903+$F$3</f>
        <v>35920</v>
      </c>
      <c r="B904" s="20" t="n">
        <f aca="false">SUMPRODUCT(固有振動数!$Q$6:$Q$22*(1-($A904/固有振動数!$O$6:$O$22)^2)/((1-($A904/固有振動数!$O$6:$O$22)^2)^2+固有振動数!$P$6:$P$22^2))</f>
        <v>-22.2485033871412</v>
      </c>
      <c r="C904" s="20" t="n">
        <f aca="false">-SUMPRODUCT(固有振動数!$Q$6:$Q$22*固有振動数!$P$6:$P$22/((1-($A904/固有振動数!$O$6:$O$22)^2)^2+固有振動数!$P$6:$P$22^2))</f>
        <v>-0.100660091039104</v>
      </c>
      <c r="D904" s="20" t="n">
        <f aca="false">SQRT(B904^2+C904^2)</f>
        <v>22.2487310968865</v>
      </c>
      <c r="E904" s="32" t="n">
        <f aca="false">20*LOG10(MAX(D904,0.000000000001)/$K$3)</f>
        <v>26.9461049415438</v>
      </c>
    </row>
    <row r="905" customFormat="false" ht="15" hidden="false" customHeight="false" outlineLevel="0" collapsed="false">
      <c r="A905" s="13" t="n">
        <f aca="false">A904+$F$3</f>
        <v>35960</v>
      </c>
      <c r="B905" s="20" t="n">
        <f aca="false">SUMPRODUCT(固有振動数!$Q$6:$Q$22*(1-($A905/固有振動数!$O$6:$O$22)^2)/((1-($A905/固有振動数!$O$6:$O$22)^2)^2+固有振動数!$P$6:$P$22^2))</f>
        <v>-21.1297369053315</v>
      </c>
      <c r="C905" s="20" t="n">
        <f aca="false">-SUMPRODUCT(固有振動数!$Q$6:$Q$22*固有振動数!$P$6:$P$22/((1-($A905/固有振動数!$O$6:$O$22)^2)^2+固有振動数!$P$6:$P$22^2))</f>
        <v>-0.0919257275135915</v>
      </c>
      <c r="D905" s="20" t="n">
        <f aca="false">SQRT(B905^2+C905^2)</f>
        <v>21.1299368675798</v>
      </c>
      <c r="E905" s="32" t="n">
        <f aca="false">20*LOG10(MAX(D905,0.000000000001)/$K$3)</f>
        <v>26.4979639892217</v>
      </c>
    </row>
    <row r="906" customFormat="false" ht="15" hidden="false" customHeight="false" outlineLevel="0" collapsed="false">
      <c r="A906" s="13" t="n">
        <f aca="false">A905+$F$3</f>
        <v>36000</v>
      </c>
      <c r="B906" s="20" t="n">
        <f aca="false">SUMPRODUCT(固有振動数!$Q$6:$Q$22*(1-($A906/固有振動数!$O$6:$O$22)^2)/((1-($A906/固有振動数!$O$6:$O$22)^2)^2+固有振動数!$P$6:$P$22^2))</f>
        <v>-20.1050813024398</v>
      </c>
      <c r="C906" s="20" t="n">
        <f aca="false">-SUMPRODUCT(固有振動数!$Q$6:$Q$22*固有振動数!$P$6:$P$22/((1-($A906/固有振動数!$O$6:$O$22)^2)^2+固有振動数!$P$6:$P$22^2))</f>
        <v>-0.0843443031951253</v>
      </c>
      <c r="D906" s="20" t="n">
        <f aca="false">SQRT(B906^2+C906^2)</f>
        <v>20.1052582211519</v>
      </c>
      <c r="E906" s="32" t="n">
        <f aca="false">20*LOG10(MAX(D906,0.000000000001)/$K$3)</f>
        <v>26.0661931064023</v>
      </c>
    </row>
    <row r="907" customFormat="false" ht="15" hidden="false" customHeight="false" outlineLevel="0" collapsed="false">
      <c r="A907" s="13" t="n">
        <f aca="false">A906+$F$3</f>
        <v>36040</v>
      </c>
      <c r="B907" s="20" t="n">
        <f aca="false">SUMPRODUCT(固有振動数!$Q$6:$Q$22*(1-($A907/固有振動数!$O$6:$O$22)^2)/((1-($A907/固有振動数!$O$6:$O$22)^2)^2+固有振動数!$P$6:$P$22^2))</f>
        <v>-19.1624524884182</v>
      </c>
      <c r="C907" s="20" t="n">
        <f aca="false">-SUMPRODUCT(固有振動数!$Q$6:$Q$22*固有振動数!$P$6:$P$22/((1-($A907/固有振動数!$O$6:$O$22)^2)^2+固有振動数!$P$6:$P$22^2))</f>
        <v>-0.0777211887279572</v>
      </c>
      <c r="D907" s="20" t="n">
        <f aca="false">SQRT(B907^2+C907^2)</f>
        <v>19.1626101028556</v>
      </c>
      <c r="E907" s="32" t="n">
        <f aca="false">20*LOG10(MAX(D907,0.000000000001)/$K$3)</f>
        <v>25.6490932640199</v>
      </c>
    </row>
    <row r="908" customFormat="false" ht="15" hidden="false" customHeight="false" outlineLevel="0" collapsed="false">
      <c r="A908" s="13" t="n">
        <f aca="false">A907+$F$3</f>
        <v>36080</v>
      </c>
      <c r="B908" s="20" t="n">
        <f aca="false">SUMPRODUCT(固有振動数!$Q$6:$Q$22*(1-($A908/固有振動数!$O$6:$O$22)^2)/((1-($A908/固有振動数!$O$6:$O$22)^2)^2+固有振動数!$P$6:$P$22^2))</f>
        <v>-18.29176106471</v>
      </c>
      <c r="C908" s="20" t="n">
        <f aca="false">-SUMPRODUCT(固有振動数!$Q$6:$Q$22*固有振動数!$P$6:$P$22/((1-($A908/固有振動数!$O$6:$O$22)^2)^2+固有振動数!$P$6:$P$22^2))</f>
        <v>-0.0719012060408986</v>
      </c>
      <c r="D908" s="20" t="n">
        <f aca="false">SQRT(B908^2+C908^2)</f>
        <v>18.2919023786994</v>
      </c>
      <c r="E908" s="32" t="n">
        <f aca="false">20*LOG10(MAX(D908,0.000000000001)/$K$3)</f>
        <v>25.2451774989299</v>
      </c>
    </row>
    <row r="909" customFormat="false" ht="15" hidden="false" customHeight="false" outlineLevel="0" collapsed="false">
      <c r="A909" s="13" t="n">
        <f aca="false">A908+$F$3</f>
        <v>36120</v>
      </c>
      <c r="B909" s="20" t="n">
        <f aca="false">SUMPRODUCT(固有振動数!$Q$6:$Q$22*(1-($A909/固有振動数!$O$6:$O$22)^2)/((1-($A909/固有振動数!$O$6:$O$22)^2)^2+固有振動数!$P$6:$P$22^2))</f>
        <v>-17.4845161934332</v>
      </c>
      <c r="C909" s="20" t="n">
        <f aca="false">-SUMPRODUCT(固有振動数!$Q$6:$Q$22*固有振動数!$P$6:$P$22/((1-($A909/固有振動数!$O$6:$O$22)^2)^2+固有振動数!$P$6:$P$22^2))</f>
        <v>-0.0667594066331062</v>
      </c>
      <c r="D909" s="20" t="n">
        <f aca="false">SQRT(B909^2+C909^2)</f>
        <v>17.4846436434033</v>
      </c>
      <c r="E909" s="32" t="n">
        <f aca="false">20*LOG10(MAX(D909,0.000000000001)/$K$3)</f>
        <v>24.8531357065619</v>
      </c>
    </row>
    <row r="910" customFormat="false" ht="15" hidden="false" customHeight="false" outlineLevel="0" collapsed="false">
      <c r="A910" s="13" t="n">
        <f aca="false">A909+$F$3</f>
        <v>36160</v>
      </c>
      <c r="B910" s="20" t="n">
        <f aca="false">SUMPRODUCT(固有振動数!$Q$6:$Q$22*(1-($A910/固有振動数!$O$6:$O$22)^2)/((1-($A910/固有振動数!$O$6:$O$22)^2)^2+固有振動数!$P$6:$P$22^2))</f>
        <v>-16.7335203063615</v>
      </c>
      <c r="C910" s="20" t="n">
        <f aca="false">-SUMPRODUCT(固有振動数!$Q$6:$Q$22*固有振動数!$P$6:$P$22/((1-($A910/固有振動数!$O$6:$O$22)^2)^2+固有振動数!$P$6:$P$22^2))</f>
        <v>-0.06219426995173</v>
      </c>
      <c r="D910" s="20" t="n">
        <f aca="false">SQRT(B910^2+C910^2)</f>
        <v>16.7336358861613</v>
      </c>
      <c r="E910" s="32" t="n">
        <f aca="false">20*LOG10(MAX(D910,0.000000000001)/$K$3)</f>
        <v>24.4718062953229</v>
      </c>
    </row>
    <row r="911" customFormat="false" ht="15" hidden="false" customHeight="false" outlineLevel="0" collapsed="false">
      <c r="A911" s="13" t="n">
        <f aca="false">A910+$F$3</f>
        <v>36200</v>
      </c>
      <c r="B911" s="20" t="n">
        <f aca="false">SUMPRODUCT(固有振動数!$Q$6:$Q$22*(1-($A911/固有振動数!$O$6:$O$22)^2)/((1-($A911/固有振動数!$O$6:$O$22)^2)^2+固有振動数!$P$6:$P$22^2))</f>
        <v>-16.0326312421175</v>
      </c>
      <c r="C911" s="20" t="n">
        <f aca="false">-SUMPRODUCT(固有振動数!$Q$6:$Q$22*固有振動数!$P$6:$P$22/((1-($A911/固有振動数!$O$6:$O$22)^2)^2+固有振動数!$P$6:$P$22^2))</f>
        <v>-0.0581226223796904</v>
      </c>
      <c r="D911" s="20" t="n">
        <f aca="false">SQRT(B911^2+C911^2)</f>
        <v>16.0327365968806</v>
      </c>
      <c r="E911" s="32" t="n">
        <f aca="false">20*LOG10(MAX(D911,0.000000000001)/$K$3)</f>
        <v>24.1001531513726</v>
      </c>
    </row>
    <row r="912" customFormat="false" ht="15" hidden="false" customHeight="false" outlineLevel="0" collapsed="false">
      <c r="A912" s="13" t="n">
        <f aca="false">A911+$F$3</f>
        <v>36240</v>
      </c>
      <c r="B912" s="20" t="n">
        <f aca="false">SUMPRODUCT(固有振動数!$Q$6:$Q$22*(1-($A912/固有振動数!$O$6:$O$22)^2)/((1-($A912/固有振動数!$O$6:$O$22)^2)^2+固有振動数!$P$6:$P$22^2))</f>
        <v>-15.3765750510154</v>
      </c>
      <c r="C912" s="20" t="n">
        <f aca="false">-SUMPRODUCT(固有振動数!$Q$6:$Q$22*固有振動数!$P$6:$P$22/((1-($A912/固有振動数!$O$6:$O$22)^2)^2+固有振動数!$P$6:$P$22^2))</f>
        <v>-0.0544757968275097</v>
      </c>
      <c r="D912" s="20" t="n">
        <f aca="false">SQRT(B912^2+C912^2)</f>
        <v>15.3766715485488</v>
      </c>
      <c r="E912" s="32" t="n">
        <f aca="false">20*LOG10(MAX(D912,0.000000000001)/$K$3)</f>
        <v>23.7372467554232</v>
      </c>
    </row>
    <row r="913" customFormat="false" ht="15" hidden="false" customHeight="false" outlineLevel="0" collapsed="false">
      <c r="A913" s="13" t="n">
        <f aca="false">A912+$F$3</f>
        <v>36280</v>
      </c>
      <c r="B913" s="20" t="n">
        <f aca="false">SUMPRODUCT(固有振動数!$Q$6:$Q$22*(1-($A913/固有振動数!$O$6:$O$22)^2)/((1-($A913/固有振動数!$O$6:$O$22)^2)^2+固有振動数!$P$6:$P$22^2))</f>
        <v>-14.7607973052192</v>
      </c>
      <c r="C913" s="20" t="n">
        <f aca="false">-SUMPRODUCT(固有振動数!$Q$6:$Q$22*固有振動数!$P$6:$P$22/((1-($A913/固有振動数!$O$6:$O$22)^2)^2+固有振動数!$P$6:$P$22^2))</f>
        <v>-0.0511966984710113</v>
      </c>
      <c r="D913" s="20" t="n">
        <f aca="false">SQRT(B913^2+C913^2)</f>
        <v>14.7608860908721</v>
      </c>
      <c r="E913" s="32" t="n">
        <f aca="false">20*LOG10(MAX(D913,0.000000000001)/$K$3)</f>
        <v>23.3822485763334</v>
      </c>
    </row>
    <row r="914" customFormat="false" ht="15" hidden="false" customHeight="false" outlineLevel="0" collapsed="false">
      <c r="A914" s="13" t="n">
        <f aca="false">A913+$F$3</f>
        <v>36320</v>
      </c>
      <c r="B914" s="20" t="n">
        <f aca="false">SUMPRODUCT(固有振動数!$Q$6:$Q$22*(1-($A914/固有振動数!$O$6:$O$22)^2)/((1-($A914/固有振動数!$O$6:$O$22)^2)^2+固有振動数!$P$6:$P$22^2))</f>
        <v>-14.1813439779627</v>
      </c>
      <c r="C914" s="20" t="n">
        <f aca="false">-SUMPRODUCT(固有振動数!$Q$6:$Q$22*固有振動数!$P$6:$P$22/((1-($A914/固有振動数!$O$6:$O$22)^2)^2+固有振動数!$P$6:$P$22^2))</f>
        <v>-0.0482375402927313</v>
      </c>
      <c r="D914" s="20" t="n">
        <f aca="false">SQRT(B914^2+C914^2)</f>
        <v>14.1814260172097</v>
      </c>
      <c r="E914" s="32" t="n">
        <f aca="false">20*LOG10(MAX(D914,0.000000000001)/$K$3)</f>
        <v>23.0343980728884</v>
      </c>
    </row>
    <row r="915" customFormat="false" ht="15" hidden="false" customHeight="false" outlineLevel="0" collapsed="false">
      <c r="A915" s="13" t="n">
        <f aca="false">A914+$F$3</f>
        <v>36360</v>
      </c>
      <c r="B915" s="20" t="n">
        <f aca="false">SUMPRODUCT(固有振動数!$Q$6:$Q$22*(1-($A915/固有振動数!$O$6:$O$22)^2)/((1-($A915/固有振動数!$O$6:$O$22)^2)^2+固有振動数!$P$6:$P$22^2))</f>
        <v>-13.6347652498401</v>
      </c>
      <c r="C915" s="20" t="n">
        <f aca="false">-SUMPRODUCT(固有振動数!$Q$6:$Q$22*固有振動数!$P$6:$P$22/((1-($A915/固有振動数!$O$6:$O$22)^2)^2+固有振動数!$P$6:$P$22^2))</f>
        <v>-0.0455580792334074</v>
      </c>
      <c r="D915" s="20" t="n">
        <f aca="false">SQRT(B915^2+C915^2)</f>
        <v>13.6348413616306</v>
      </c>
      <c r="E915" s="32" t="n">
        <f aca="false">20*LOG10(MAX(D915,0.000000000001)/$K$3)</f>
        <v>22.6930017877323</v>
      </c>
    </row>
    <row r="916" customFormat="false" ht="15" hidden="false" customHeight="false" outlineLevel="0" collapsed="false">
      <c r="A916" s="13" t="n">
        <f aca="false">A915+$F$3</f>
        <v>36400</v>
      </c>
      <c r="B916" s="20" t="n">
        <f aca="false">SUMPRODUCT(固有振動数!$Q$6:$Q$22*(1-($A916/固有振動数!$O$6:$O$22)^2)/((1-($A916/固有振動数!$O$6:$O$22)^2)^2+固有振動数!$P$6:$P$22^2))</f>
        <v>-13.1180372523957</v>
      </c>
      <c r="C916" s="20" t="n">
        <f aca="false">-SUMPRODUCT(固有振動数!$Q$6:$Q$22*固有振動数!$P$6:$P$22/((1-($A916/固有振動数!$O$6:$O$22)^2)^2+固有振動数!$P$6:$P$22^2))</f>
        <v>-0.0431242303622083</v>
      </c>
      <c r="D916" s="20" t="n">
        <f aca="false">SQRT(B916^2+C916^2)</f>
        <v>13.1181081354929</v>
      </c>
      <c r="E916" s="32" t="n">
        <f aca="false">20*LOG10(MAX(D916,0.000000000001)/$K$3)</f>
        <v>22.3574241313421</v>
      </c>
    </row>
    <row r="917" customFormat="false" ht="15" hidden="false" customHeight="false" outlineLevel="0" collapsed="false">
      <c r="A917" s="13" t="n">
        <f aca="false">A916+$F$3</f>
        <v>36440</v>
      </c>
      <c r="B917" s="20" t="n">
        <f aca="false">SUMPRODUCT(固有振動数!$Q$6:$Q$22*(1-($A917/固有振動数!$O$6:$O$22)^2)/((1-($A917/固有振動数!$O$6:$O$22)^2)^2+固有振動数!$P$6:$P$22^2))</f>
        <v>-12.628497963021</v>
      </c>
      <c r="C917" s="20" t="n">
        <f aca="false">-SUMPRODUCT(固有振動数!$Q$6:$Q$22*固有振動数!$P$6:$P$22/((1-($A917/固有振動数!$O$6:$O$22)^2)^2+固有振動数!$P$6:$P$22^2))</f>
        <v>-0.0409069692397654</v>
      </c>
      <c r="D917" s="20" t="n">
        <f aca="false">SQRT(B917^2+C917^2)</f>
        <v>12.6285642169709</v>
      </c>
      <c r="E917" s="32" t="n">
        <f aca="false">20*LOG10(MAX(D917,0.000000000001)/$K$3)</f>
        <v>22.0270795398599</v>
      </c>
    </row>
    <row r="918" customFormat="false" ht="15" hidden="false" customHeight="false" outlineLevel="0" collapsed="false">
      <c r="A918" s="13" t="n">
        <f aca="false">A917+$F$3</f>
        <v>36480</v>
      </c>
      <c r="B918" s="20" t="n">
        <f aca="false">SUMPRODUCT(固有振動数!$Q$6:$Q$22*(1-($A918/固有振動数!$O$6:$O$22)^2)/((1-($A918/固有振動数!$O$6:$O$22)^2)^2+固有振動数!$P$6:$P$22^2))</f>
        <v>-12.1637943517871</v>
      </c>
      <c r="C918" s="20" t="n">
        <f aca="false">-SUMPRODUCT(固有振動数!$Q$6:$Q$22*固有振動数!$P$6:$P$22/((1-($A918/固有振動数!$O$6:$O$22)^2)^2+固有振動数!$P$6:$P$22^2))</f>
        <v>-0.0388814559649137</v>
      </c>
      <c r="D918" s="20" t="n">
        <f aca="false">SQRT(B918^2+C918^2)</f>
        <v>12.1638564937353</v>
      </c>
      <c r="E918" s="32" t="n">
        <f aca="false">20*LOG10(MAX(D918,0.000000000001)/$K$3)</f>
        <v>21.7014257560014</v>
      </c>
    </row>
    <row r="919" customFormat="false" ht="15" hidden="false" customHeight="false" outlineLevel="0" collapsed="false">
      <c r="A919" s="13" t="n">
        <f aca="false">A918+$F$3</f>
        <v>36520</v>
      </c>
      <c r="B919" s="20" t="n">
        <f aca="false">SUMPRODUCT(固有振動数!$Q$6:$Q$22*(1-($A919/固有振動数!$O$6:$O$22)^2)/((1-($A919/固有振動数!$O$6:$O$22)^2)^2+固有振動数!$P$6:$P$22^2))</f>
        <v>-11.7218385405163</v>
      </c>
      <c r="C919" s="20" t="n">
        <f aca="false">-SUMPRODUCT(固有振動数!$Q$6:$Q$22*固有振動数!$P$6:$P$22/((1-($A919/固有振動数!$O$6:$O$22)^2)^2+固有振動数!$P$6:$P$22^2))</f>
        <v>-0.0370263311772565</v>
      </c>
      <c r="D919" s="20" t="n">
        <f aca="false">SQRT(B919^2+C919^2)</f>
        <v>11.7218970187906</v>
      </c>
      <c r="E919" s="32" t="n">
        <f aca="false">20*LOG10(MAX(D919,0.000000000001)/$K$3)</f>
        <v>21.3799580324878</v>
      </c>
    </row>
    <row r="920" customFormat="false" ht="15" hidden="false" customHeight="false" outlineLevel="0" collapsed="false">
      <c r="A920" s="13" t="n">
        <f aca="false">A919+$F$3</f>
        <v>36560</v>
      </c>
      <c r="B920" s="20" t="n">
        <f aca="false">SUMPRODUCT(固有振動数!$Q$6:$Q$22*(1-($A920/固有振動数!$O$6:$O$22)^2)/((1-($A920/固有振動数!$O$6:$O$22)^2)^2+固有振動数!$P$6:$P$22^2))</f>
        <v>-11.3007712298747</v>
      </c>
      <c r="C920" s="20" t="n">
        <f aca="false">-SUMPRODUCT(固有振動数!$Q$6:$Q$22*固有振動数!$P$6:$P$22/((1-($A920/固有振動数!$O$6:$O$22)^2)^2+固有振動数!$P$6:$P$22^2))</f>
        <v>-0.0353231464930868</v>
      </c>
      <c r="D920" s="20" t="n">
        <f aca="false">SQRT(B920^2+C920^2)</f>
        <v>11.3008264350286</v>
      </c>
      <c r="E920" s="32" t="n">
        <f aca="false">20*LOG10(MAX(D920,0.000000000001)/$K$3)</f>
        <v>21.0622040963027</v>
      </c>
    </row>
    <row r="921" customFormat="false" ht="15" hidden="false" customHeight="false" outlineLevel="0" collapsed="false">
      <c r="A921" s="13" t="n">
        <f aca="false">A920+$F$3</f>
        <v>36600</v>
      </c>
      <c r="B921" s="20" t="n">
        <f aca="false">SUMPRODUCT(固有振動数!$Q$6:$Q$22*(1-($A921/固有振動数!$O$6:$O$22)^2)/((1-($A921/固有振動数!$O$6:$O$22)^2)^2+固有振動数!$P$6:$P$22^2))</f>
        <v>-10.8989310257498</v>
      </c>
      <c r="C921" s="20" t="n">
        <f aca="false">-SUMPRODUCT(固有振動数!$Q$6:$Q$22*固有振動数!$P$6:$P$22/((1-($A921/固有振動数!$O$6:$O$22)^2)^2+固有振動数!$P$6:$P$22^2))</f>
        <v>-0.033755900817789</v>
      </c>
      <c r="D921" s="20" t="n">
        <f aca="false">SQRT(B921^2+C921^2)</f>
        <v>10.8989832995968</v>
      </c>
      <c r="E921" s="32" t="n">
        <f aca="false">20*LOG10(MAX(D921,0.000000000001)/$K$3)</f>
        <v>20.7477197423559</v>
      </c>
    </row>
    <row r="922" customFormat="false" ht="15" hidden="false" customHeight="false" outlineLevel="0" collapsed="false">
      <c r="A922" s="13" t="n">
        <f aca="false">A921+$F$3</f>
        <v>36640</v>
      </c>
      <c r="B922" s="20" t="n">
        <f aca="false">SUMPRODUCT(固有振動数!$Q$6:$Q$22*(1-($A922/固有振動数!$O$6:$O$22)^2)/((1-($A922/固有振動数!$O$6:$O$22)^2)^2+固有振動数!$P$6:$P$22^2))</f>
        <v>-10.5148285830985</v>
      </c>
      <c r="C922" s="20" t="n">
        <f aca="false">-SUMPRODUCT(固有振動数!$Q$6:$Q$22*固有振動数!$P$6:$P$22/((1-($A922/固有振動数!$O$6:$O$22)^2)^2+固有振動数!$P$6:$P$22^2))</f>
        <v>-0.032310660625007</v>
      </c>
      <c r="D922" s="20" t="n">
        <f aca="false">SQRT(B922^2+C922^2)</f>
        <v>10.5148782261486</v>
      </c>
      <c r="E922" s="32" t="n">
        <f aca="false">20*LOG10(MAX(D922,0.000000000001)/$K$3)</f>
        <v>20.4360849488768</v>
      </c>
    </row>
    <row r="923" customFormat="false" ht="15" hidden="false" customHeight="false" outlineLevel="0" collapsed="false">
      <c r="A923" s="13" t="n">
        <f aca="false">A922+$F$3</f>
        <v>36680</v>
      </c>
      <c r="B923" s="20" t="n">
        <f aca="false">SUMPRODUCT(固有振動数!$Q$6:$Q$22*(1-($A923/固有振動数!$O$6:$O$22)^2)/((1-($A923/固有振動数!$O$6:$O$22)^2)^2+固有振動数!$P$6:$P$22^2))</f>
        <v>-10.1471247064345</v>
      </c>
      <c r="C923" s="20" t="n">
        <f aca="false">-SUMPRODUCT(固有振動数!$Q$6:$Q$22*固有振動数!$P$6:$P$22/((1-($A923/固有振動数!$O$6:$O$22)^2)^2+固有振動数!$P$6:$P$22^2))</f>
        <v>-0.0309752472643834</v>
      </c>
      <c r="D923" s="20" t="n">
        <f aca="false">SQRT(B923^2+C923^2)</f>
        <v>10.1471719840493</v>
      </c>
      <c r="E923" s="32" t="n">
        <f aca="false">20*LOG10(MAX(D923,0.000000000001)/$K$3)</f>
        <v>20.1269004255666</v>
      </c>
    </row>
    <row r="924" customFormat="false" ht="15" hidden="false" customHeight="false" outlineLevel="0" collapsed="false">
      <c r="A924" s="13" t="n">
        <f aca="false">A923+$F$3</f>
        <v>36720</v>
      </c>
      <c r="B924" s="20" t="n">
        <f aca="false">SUMPRODUCT(固有振動数!$Q$6:$Q$22*(1-($A924/固有振動数!$O$6:$O$22)^2)/((1-($A924/固有振動数!$O$6:$O$22)^2)^2+固有振動数!$P$6:$P$22^2))</f>
        <v>-9.79461171758045</v>
      </c>
      <c r="C924" s="20" t="n">
        <f aca="false">-SUMPRODUCT(固有振動数!$Q$6:$Q$22*固有振動数!$P$6:$P$22/((1-($A924/固有振動数!$O$6:$O$22)^2)^2+固有振動数!$P$6:$P$22^2))</f>
        <v>-0.0297389781087284</v>
      </c>
      <c r="D924" s="20" t="n">
        <f aca="false">SQRT(B924^2+C924^2)</f>
        <v>9.79465686509656</v>
      </c>
      <c r="E924" s="32" t="n">
        <f aca="false">20*LOG10(MAX(D924,0.000000000001)/$K$3)</f>
        <v>19.8197845203356</v>
      </c>
    </row>
    <row r="925" customFormat="false" ht="15" hidden="false" customHeight="false" outlineLevel="0" collapsed="false">
      <c r="A925" s="13" t="n">
        <f aca="false">A924+$F$3</f>
        <v>36760</v>
      </c>
      <c r="B925" s="20" t="n">
        <f aca="false">SUMPRODUCT(固有振動数!$Q$6:$Q$22*(1-($A925/固有振動数!$O$6:$O$22)^2)/((1-($A925/固有振動数!$O$6:$O$22)^2)^2+固有振動数!$P$6:$P$22^2))</f>
        <v>-9.45619753528451</v>
      </c>
      <c r="C925" s="20" t="n">
        <f aca="false">-SUMPRODUCT(固有振動数!$Q$6:$Q$22*固有振動数!$P$6:$P$22/((1-($A925/固有振動数!$O$6:$O$22)^2)^2+固有振動数!$P$6:$P$22^2))</f>
        <v>-0.0285924512007642</v>
      </c>
      <c r="D925" s="20" t="n">
        <f aca="false">SQRT(B925^2+C925^2)</f>
        <v>9.45624076230013</v>
      </c>
      <c r="E925" s="32" t="n">
        <f aca="false">20*LOG10(MAX(D925,0.000000000001)/$K$3)</f>
        <v>19.5143704221972</v>
      </c>
    </row>
    <row r="926" customFormat="false" ht="15" hidden="false" customHeight="false" outlineLevel="0" collapsed="false">
      <c r="A926" s="13" t="n">
        <f aca="false">A925+$F$3</f>
        <v>36800</v>
      </c>
      <c r="B926" s="20" t="n">
        <f aca="false">SUMPRODUCT(固有振動数!$Q$6:$Q$22*(1-($A926/固有振動数!$O$6:$O$22)^2)/((1-($A926/固有振動数!$O$6:$O$22)^2)^2+固有振動数!$P$6:$P$22^2))</f>
        <v>-9.13089201666783</v>
      </c>
      <c r="C926" s="20" t="n">
        <f aca="false">-SUMPRODUCT(固有振動数!$Q$6:$Q$22*固有振動数!$P$6:$P$22/((1-($A926/固有振動数!$O$6:$O$22)^2)^2+固有振動数!$P$6:$P$22^2))</f>
        <v>-0.0275273652410286</v>
      </c>
      <c r="D926" s="20" t="n">
        <f aca="false">SQRT(B926^2+C926^2)</f>
        <v>9.13093351064859</v>
      </c>
      <c r="E926" s="32" t="n">
        <f aca="false">20*LOG10(MAX(D926,0.000000000001)/$K$3)</f>
        <v>19.2103036071998</v>
      </c>
    </row>
    <row r="927" customFormat="false" ht="15" hidden="false" customHeight="false" outlineLevel="0" collapsed="false">
      <c r="A927" s="13" t="n">
        <f aca="false">A926+$F$3</f>
        <v>36840</v>
      </c>
      <c r="B927" s="20" t="n">
        <f aca="false">SUMPRODUCT(固有振動数!$Q$6:$Q$22*(1-($A927/固有振動数!$O$6:$O$22)^2)/((1-($A927/固有振動数!$O$6:$O$22)^2)^2+固有振動数!$P$6:$P$22^2))</f>
        <v>-8.8177951938739</v>
      </c>
      <c r="C927" s="20" t="n">
        <f aca="false">-SUMPRODUCT(固有振動数!$Q$6:$Q$22*固有振動数!$P$6:$P$22/((1-($A927/固有振動数!$O$6:$O$22)^2)^2+固有振動数!$P$6:$P$22^2))</f>
        <v>-0.0265363684403785</v>
      </c>
      <c r="D927" s="20" t="n">
        <f aca="false">SQRT(B927^2+C927^2)</f>
        <v>8.81783512320091</v>
      </c>
      <c r="E927" s="32" t="n">
        <f aca="false">20*LOG10(MAX(D927,0.000000000001)/$K$3)</f>
        <v>18.9072394816558</v>
      </c>
    </row>
    <row r="928" customFormat="false" ht="15" hidden="false" customHeight="false" outlineLevel="0" collapsed="false">
      <c r="A928" s="13" t="n">
        <f aca="false">A927+$F$3</f>
        <v>36880</v>
      </c>
      <c r="B928" s="20" t="n">
        <f aca="false">SUMPRODUCT(固有振動数!$Q$6:$Q$22*(1-($A928/固有振動数!$O$6:$O$22)^2)/((1-($A928/固有振動数!$O$6:$O$22)^2)^2+固有振動数!$P$6:$P$22^2))</f>
        <v>-8.51608710569106</v>
      </c>
      <c r="C928" s="20" t="n">
        <f aca="false">-SUMPRODUCT(固有振動数!$Q$6:$Q$22*固有振動数!$P$6:$P$22/((1-($A928/固有振動数!$O$6:$O$22)^2)^2+固有振動数!$P$6:$P$22^2))</f>
        <v>-0.0256129310658033</v>
      </c>
      <c r="D928" s="20" t="n">
        <f aca="false">SQRT(B928^2+C928^2)</f>
        <v>8.51612562225073</v>
      </c>
      <c r="E928" s="32" t="n">
        <f aca="false">20*LOG10(MAX(D928,0.000000000001)/$K$3)</f>
        <v>18.604841182728</v>
      </c>
    </row>
    <row r="929" customFormat="false" ht="15" hidden="false" customHeight="false" outlineLevel="0" collapsed="false">
      <c r="A929" s="13" t="n">
        <f aca="false">A928+$F$3</f>
        <v>36920</v>
      </c>
      <c r="B929" s="20" t="n">
        <f aca="false">SUMPRODUCT(固有振動数!$Q$6:$Q$22*(1-($A929/固有振動数!$O$6:$O$22)^2)/((1-($A929/固有振動数!$O$6:$O$22)^2)^2+固有振動数!$P$6:$P$22^2))</f>
        <v>-8.22501897709204</v>
      </c>
      <c r="C929" s="20" t="n">
        <f aca="false">-SUMPRODUCT(固有振動数!$Q$6:$Q$22*固有振動数!$P$6:$P$22/((1-($A929/固有振動数!$O$6:$O$22)^2)^2+固有振動数!$P$6:$P$22^2))</f>
        <v>-0.0247512375276708</v>
      </c>
      <c r="D929" s="20" t="n">
        <f aca="false">SQRT(B929^2+C929^2)</f>
        <v>8.22505621848771</v>
      </c>
      <c r="E929" s="32" t="n">
        <f aca="false">20*LOG10(MAX(D929,0.000000000001)/$K$3)</f>
        <v>18.3027775009401</v>
      </c>
    </row>
    <row r="930" customFormat="false" ht="15" hidden="false" customHeight="false" outlineLevel="0" collapsed="false">
      <c r="A930" s="13" t="n">
        <f aca="false">A929+$F$3</f>
        <v>36960</v>
      </c>
      <c r="B930" s="20" t="n">
        <f aca="false">SUMPRODUCT(固有振動数!$Q$6:$Q$22*(1-($A930/固有振動数!$O$6:$O$22)^2)/((1-($A930/固有振動数!$O$6:$O$22)^2)^2+固有振動数!$P$6:$P$22^2))</f>
        <v>-7.94390554243949</v>
      </c>
      <c r="C930" s="20" t="n">
        <f aca="false">-SUMPRODUCT(固有振動数!$Q$6:$Q$22*固有振動数!$P$6:$P$22/((1-($A930/固有振動数!$O$6:$O$22)^2)^2+固有振動数!$P$6:$P$22^2))</f>
        <v>-0.0239460946574644</v>
      </c>
      <c r="D930" s="20" t="n">
        <f aca="false">SQRT(B930^2+C930^2)</f>
        <v>7.94394163388995</v>
      </c>
      <c r="E930" s="32" t="n">
        <f aca="false">20*LOG10(MAX(D930,0.000000000001)/$K$3)</f>
        <v>18.0007208925948</v>
      </c>
    </row>
    <row r="931" customFormat="false" ht="15" hidden="false" customHeight="false" outlineLevel="0" collapsed="false">
      <c r="A931" s="13" t="n">
        <f aca="false">A930+$F$3</f>
        <v>37000</v>
      </c>
      <c r="B931" s="20" t="n">
        <f aca="false">SUMPRODUCT(固有振動数!$Q$6:$Q$22*(1-($A931/固有振動数!$O$6:$O$22)^2)/((1-($A931/固有振動数!$O$6:$O$22)^2)^2+固有振動数!$P$6:$P$22^2))</f>
        <v>-7.67211834274145</v>
      </c>
      <c r="C931" s="20" t="n">
        <f aca="false">-SUMPRODUCT(固有振動数!$Q$6:$Q$22*固有振動数!$P$6:$P$22/((1-($A931/固有振動数!$O$6:$O$22)^2)^2+固有振動数!$P$6:$P$22^2))</f>
        <v>-0.0231928534579396</v>
      </c>
      <c r="D931" s="20" t="n">
        <f aca="false">SQRT(B931^2+C931^2)</f>
        <v>7.67215339871938</v>
      </c>
      <c r="E931" s="32" t="n">
        <f aca="false">20*LOG10(MAX(D931,0.000000000001)/$K$3)</f>
        <v>17.6983455525726</v>
      </c>
    </row>
    <row r="932" customFormat="false" ht="15" hidden="false" customHeight="false" outlineLevel="0" collapsed="false">
      <c r="A932" s="13" t="n">
        <f aca="false">A931+$F$3</f>
        <v>37040</v>
      </c>
      <c r="B932" s="20" t="n">
        <f aca="false">SUMPRODUCT(固有振動数!$Q$6:$Q$22*(1-($A932/固有振動数!$O$6:$O$22)^2)/((1-($A932/固有振動数!$O$6:$O$22)^2)^2+固有振動数!$P$6:$P$22^2))</f>
        <v>-7.40907985550763</v>
      </c>
      <c r="C932" s="20" t="n">
        <f aca="false">-SUMPRODUCT(固有振動数!$Q$6:$Q$22*固有振動数!$P$6:$P$22/((1-($A932/固有振動数!$O$6:$O$22)^2)^2+固有振動数!$P$6:$P$22^2))</f>
        <v>-0.0224873421104395</v>
      </c>
      <c r="D932" s="20" t="n">
        <f aca="false">SQRT(B932^2+C932^2)</f>
        <v>7.40911398116159</v>
      </c>
      <c r="E932" s="32" t="n">
        <f aca="false">20*LOG10(MAX(D932,0.000000000001)/$K$3)</f>
        <v>17.3953255196427</v>
      </c>
    </row>
    <row r="933" customFormat="false" ht="15" hidden="false" customHeight="false" outlineLevel="0" collapsed="false">
      <c r="A933" s="13" t="n">
        <f aca="false">A932+$F$3</f>
        <v>37080</v>
      </c>
      <c r="B933" s="20" t="n">
        <f aca="false">SUMPRODUCT(固有振動数!$Q$6:$Q$22*(1-($A933/固有振動数!$O$6:$O$22)^2)/((1-($A933/固有振動数!$O$6:$O$22)^2)^2+固有振動数!$P$6:$P$22^2))</f>
        <v>-7.15425833876506</v>
      </c>
      <c r="C933" s="20" t="n">
        <f aca="false">-SUMPRODUCT(固有振動数!$Q$6:$Q$22*固有振動数!$P$6:$P$22/((1-($A933/固有振動数!$O$6:$O$22)^2)^2+固有振動数!$P$6:$P$22^2))</f>
        <v>-0.0218258084256564</v>
      </c>
      <c r="D933" s="20" t="n">
        <f aca="false">SQRT(B933^2+C933^2)</f>
        <v>7.15429163116117</v>
      </c>
      <c r="E933" s="32" t="n">
        <f aca="false">20*LOG10(MAX(D933,0.000000000001)/$K$3)</f>
        <v>17.0913327873315</v>
      </c>
    </row>
    <row r="934" customFormat="false" ht="15" hidden="false" customHeight="false" outlineLevel="0" collapsed="false">
      <c r="A934" s="13" t="n">
        <f aca="false">A933+$F$3</f>
        <v>37120</v>
      </c>
      <c r="B934" s="20" t="n">
        <f aca="false">SUMPRODUCT(固有振動数!$Q$6:$Q$22*(1-($A934/固有振動数!$O$6:$O$22)^2)/((1-($A934/固有振動数!$O$6:$O$22)^2)^2+固有振動数!$P$6:$P$22^2))</f>
        <v>-6.90716328967266</v>
      </c>
      <c r="C934" s="20" t="n">
        <f aca="false">-SUMPRODUCT(固有振動数!$Q$6:$Q$22*固有振動数!$P$6:$P$22/((1-($A934/固有振動数!$O$6:$O$22)^2)^2+固有振動数!$P$6:$P$22^2))</f>
        <v>-0.0212048702463985</v>
      </c>
      <c r="D934" s="20" t="n">
        <f aca="false">SQRT(B934^2+C934^2)</f>
        <v>6.90719583888598</v>
      </c>
      <c r="E934" s="32" t="n">
        <f aca="false">20*LOG10(MAX(D934,0.000000000001)/$K$3)</f>
        <v>16.7860353935898</v>
      </c>
    </row>
    <row r="935" customFormat="false" ht="15" hidden="false" customHeight="false" outlineLevel="0" collapsed="false">
      <c r="A935" s="13" t="n">
        <f aca="false">A934+$F$3</f>
        <v>37160</v>
      </c>
      <c r="B935" s="20" t="n">
        <f aca="false">SUMPRODUCT(固有振動数!$Q$6:$Q$22*(1-($A935/固有振動数!$O$6:$O$22)^2)/((1-($A935/固有振動数!$O$6:$O$22)^2)^2+固有振動数!$P$6:$P$22^2))</f>
        <v>-6.66734143373597</v>
      </c>
      <c r="C935" s="20" t="n">
        <f aca="false">-SUMPRODUCT(固有振動数!$Q$6:$Q$22*固有振動数!$P$6:$P$22/((1-($A935/固有振動数!$O$6:$O$22)^2)^2+固有振動数!$P$6:$P$22^2))</f>
        <v>-0.0206214725708118</v>
      </c>
      <c r="D935" s="20" t="n">
        <f aca="false">SQRT(B935^2+C935^2)</f>
        <v>6.66737332381676</v>
      </c>
      <c r="E935" s="32" t="n">
        <f aca="false">20*LOG10(MAX(D935,0.000000000001)/$K$3)</f>
        <v>16.4790954619965</v>
      </c>
    </row>
    <row r="936" customFormat="false" ht="15" hidden="false" customHeight="false" outlineLevel="0" collapsed="false">
      <c r="A936" s="13" t="n">
        <f aca="false">A935+$F$3</f>
        <v>37200</v>
      </c>
      <c r="B936" s="20" t="n">
        <f aca="false">SUMPRODUCT(固有振動数!$Q$6:$Q$22*(1-($A936/固有振動数!$O$6:$O$22)^2)/((1-($A936/固有振動数!$O$6:$O$22)^2)^2+固有振動数!$P$6:$P$22^2))</f>
        <v>-6.43437317349797</v>
      </c>
      <c r="C936" s="20" t="n">
        <f aca="false">-SUMPRODUCT(固有振動数!$Q$6:$Q$22*固有振動数!$P$6:$P$22/((1-($A936/固有振動数!$O$6:$O$22)^2)^2+固有振動数!$P$6:$P$22^2))</f>
        <v>-0.0200728503750319</v>
      </c>
      <c r="D936" s="20" t="n">
        <f aca="false">SQRT(B936^2+C936^2)</f>
        <v>6.4344044833343</v>
      </c>
      <c r="E936" s="32" t="n">
        <f aca="false">20*LOG10(MAX(D936,0.000000000001)/$K$3)</f>
        <v>16.1701671660054</v>
      </c>
    </row>
    <row r="937" customFormat="false" ht="15" hidden="false" customHeight="false" outlineLevel="0" collapsed="false">
      <c r="A937" s="13" t="n">
        <f aca="false">A936+$F$3</f>
        <v>37240</v>
      </c>
      <c r="B937" s="20" t="n">
        <f aca="false">SUMPRODUCT(固有振動数!$Q$6:$Q$22*(1-($A937/固有振動数!$O$6:$O$22)^2)/((1-($A937/固有振動数!$O$6:$O$22)^2)^2+固有振動数!$P$6:$P$22^2))</f>
        <v>-6.20786943627839</v>
      </c>
      <c r="C937" s="20" t="n">
        <f aca="false">-SUMPRODUCT(固有振動数!$Q$6:$Q$22*固有振動数!$P$6:$P$22/((1-($A937/固有振動数!$O$6:$O$22)^2)^2+固有振動数!$P$6:$P$22^2))</f>
        <v>-0.019556496285522</v>
      </c>
      <c r="D937" s="20" t="n">
        <f aca="false">SQRT(B937^2+C937^2)</f>
        <v>6.20790024037325</v>
      </c>
      <c r="E937" s="32" t="n">
        <f aca="false">20*LOG10(MAX(D937,0.000000000001)/$K$3)</f>
        <v>15.8588945857387</v>
      </c>
    </row>
    <row r="938" customFormat="false" ht="15" hidden="false" customHeight="false" outlineLevel="0" collapsed="false">
      <c r="A938" s="13" t="n">
        <f aca="false">A937+$F$3</f>
        <v>37280</v>
      </c>
      <c r="B938" s="20" t="n">
        <f aca="false">SUMPRODUCT(固有振動数!$Q$6:$Q$22*(1-($A938/固有振動数!$O$6:$O$22)^2)/((1-($A938/固有振動数!$O$6:$O$22)^2)^2+固有振動数!$P$6:$P$22^2))</f>
        <v>-5.98746886945448</v>
      </c>
      <c r="C938" s="20" t="n">
        <f aca="false">-SUMPRODUCT(固有振動数!$Q$6:$Q$22*固有振動数!$P$6:$P$22/((1-($A938/固有振動数!$O$6:$O$22)^2)^2+固有振動数!$P$6:$P$22^2))</f>
        <v>-0.0190701323913091</v>
      </c>
      <c r="D938" s="20" t="n">
        <f aca="false">SQRT(B938^2+C938^2)</f>
        <v>5.98749923863343</v>
      </c>
      <c r="E938" s="32" t="n">
        <f aca="false">20*LOG10(MAX(D938,0.000000000001)/$K$3)</f>
        <v>15.5449094239603</v>
      </c>
    </row>
    <row r="939" customFormat="false" ht="15" hidden="false" customHeight="false" outlineLevel="0" collapsed="false">
      <c r="A939" s="13" t="n">
        <f aca="false">A938+$F$3</f>
        <v>37320</v>
      </c>
      <c r="B939" s="20" t="n">
        <f aca="false">SUMPRODUCT(固有振動数!$Q$6:$Q$22*(1-($A939/固有振動数!$O$6:$O$22)^2)/((1-($A939/固有振動数!$O$6:$O$22)^2)^2+固有振動数!$P$6:$P$22^2))</f>
        <v>-5.77283533923899</v>
      </c>
      <c r="C939" s="20" t="n">
        <f aca="false">-SUMPRODUCT(固有振動数!$Q$6:$Q$22*固有振動数!$P$6:$P$22/((1-($A939/固有振動数!$O$6:$O$22)^2)^2+固有振動数!$P$6:$P$22^2))</f>
        <v>-0.0186116856011163</v>
      </c>
      <c r="D939" s="20" t="n">
        <f aca="false">SQRT(B939^2+C939^2)</f>
        <v>5.77286534130214</v>
      </c>
      <c r="E939" s="32" t="n">
        <f aca="false">20*LOG10(MAX(D939,0.000000000001)/$K$3)</f>
        <v>15.2278285440087</v>
      </c>
    </row>
    <row r="940" customFormat="false" ht="15" hidden="false" customHeight="false" outlineLevel="0" collapsed="false">
      <c r="A940" s="13" t="n">
        <f aca="false">A939+$F$3</f>
        <v>37360</v>
      </c>
      <c r="B940" s="20" t="n">
        <f aca="false">SUMPRODUCT(固有振動数!$Q$6:$Q$22*(1-($A940/固有振動数!$O$6:$O$22)^2)/((1-($A940/固有振動数!$O$6:$O$22)^2)^2+固有振動数!$P$6:$P$22^2))</f>
        <v>-5.56365569518125</v>
      </c>
      <c r="C940" s="20" t="n">
        <f aca="false">-SUMPRODUCT(固有振動数!$Q$6:$Q$22*固有振動数!$P$6:$P$22/((1-($A940/固有振動数!$O$6:$O$22)^2)^2+固有振動数!$P$6:$P$22^2))</f>
        <v>-0.0181792660449325</v>
      </c>
      <c r="D940" s="20" t="n">
        <f aca="false">SQRT(B940^2+C940^2)</f>
        <v>5.56368539551229</v>
      </c>
      <c r="E940" s="32" t="n">
        <f aca="false">20*LOG10(MAX(D940,0.000000000001)/$K$3)</f>
        <v>14.9072512874502</v>
      </c>
    </row>
    <row r="941" customFormat="false" ht="15" hidden="false" customHeight="false" outlineLevel="0" collapsed="false">
      <c r="A941" s="13" t="n">
        <f aca="false">A940+$F$3</f>
        <v>37400</v>
      </c>
      <c r="B941" s="20" t="n">
        <f aca="false">SUMPRODUCT(固有振動数!$Q$6:$Q$22*(1-($A941/固有振動数!$O$6:$O$22)^2)/((1-($A941/固有振動数!$O$6:$O$22)^2)^2+固有振動数!$P$6:$P$22^2))</f>
        <v>-5.35963776789822</v>
      </c>
      <c r="C941" s="20" t="n">
        <f aca="false">-SUMPRODUCT(固有振動数!$Q$6:$Q$22*固有振動数!$P$6:$P$22/((1-($A941/固有振動数!$O$6:$O$22)^2)^2+固有振動数!$P$6:$P$22^2))</f>
        <v>-0.0177711480976889</v>
      </c>
      <c r="D941" s="20" t="n">
        <f aca="false">SQRT(B941^2+C941^2)</f>
        <v>5.35966723004197</v>
      </c>
      <c r="E941" s="32" t="n">
        <f aca="false">20*LOG10(MAX(D941,0.000000000001)/$K$3)</f>
        <v>14.5827565227998</v>
      </c>
    </row>
    <row r="942" customFormat="false" ht="15" hidden="false" customHeight="false" outlineLevel="0" collapsed="false">
      <c r="A942" s="13" t="n">
        <f aca="false">A941+$F$3</f>
        <v>37440</v>
      </c>
      <c r="B942" s="20" t="n">
        <f aca="false">SUMPRODUCT(固有振動数!$Q$6:$Q$22*(1-($A942/固有振動数!$O$6:$O$22)^2)/((1-($A942/固有振動数!$O$6:$O$22)^2)^2+固有振動数!$P$6:$P$22^2))</f>
        <v>-5.16050857200716</v>
      </c>
      <c r="C942" s="20" t="n">
        <f aca="false">-SUMPRODUCT(固有振動数!$Q$6:$Q$22*固有振動数!$P$6:$P$22/((1-($A942/固有振動数!$O$6:$O$22)^2)^2+固有振動数!$P$6:$P$22^2))</f>
        <v>-0.0173857536675276</v>
      </c>
      <c r="D942" s="20" t="n">
        <f aca="false">SQRT(B942^2+C942^2)</f>
        <v>5.1605378582266</v>
      </c>
      <c r="E942" s="32" t="n">
        <f aca="false">20*LOG10(MAX(D942,0.000000000001)/$K$3)</f>
        <v>14.2538993685385</v>
      </c>
    </row>
    <row r="943" customFormat="false" ht="15" hidden="false" customHeight="false" outlineLevel="0" collapsed="false">
      <c r="A943" s="13" t="n">
        <f aca="false">A942+$F$3</f>
        <v>37480</v>
      </c>
      <c r="B943" s="20" t="n">
        <f aca="false">SUMPRODUCT(固有振動数!$Q$6:$Q$22*(1-($A943/固有振動数!$O$6:$O$22)^2)/((1-($A943/固有振動数!$O$6:$O$22)^2)^2+固有振動数!$P$6:$P$22^2))</f>
        <v>-4.96601269001805</v>
      </c>
      <c r="C943" s="20" t="n">
        <f aca="false">-SUMPRODUCT(固有振動数!$Q$6:$Q$22*固有振動数!$P$6:$P$22/((1-($A943/固有振動数!$O$6:$O$22)^2)^2+固有振動数!$P$6:$P$22^2))</f>
        <v>-0.0170216374450936</v>
      </c>
      <c r="D943" s="20" t="n">
        <f aca="false">SQRT(B943^2+C943^2)</f>
        <v>4.96604186184144</v>
      </c>
      <c r="E943" s="32" t="n">
        <f aca="false">20*LOG10(MAX(D943,0.000000000001)/$K$3)</f>
        <v>13.9202075234209</v>
      </c>
    </row>
    <row r="944" customFormat="false" ht="15" hidden="false" customHeight="false" outlineLevel="0" collapsed="false">
      <c r="A944" s="13" t="n">
        <f aca="false">A943+$F$3</f>
        <v>37520</v>
      </c>
      <c r="B944" s="20" t="n">
        <f aca="false">SUMPRODUCT(固有振動数!$Q$6:$Q$22*(1-($A944/固有振動数!$O$6:$O$22)^2)/((1-($A944/固有振動数!$O$6:$O$22)^2)^2+固有振動数!$P$6:$P$22^2))</f>
        <v>-4.7759108161628</v>
      </c>
      <c r="C944" s="20" t="n">
        <f aca="false">-SUMPRODUCT(固有振動数!$Q$6:$Q$22*固有振動数!$P$6:$P$22/((1-($A944/固有振動数!$O$6:$O$22)^2)^2+固有振動数!$P$6:$P$22^2))</f>
        <v>-0.0166774738553331</v>
      </c>
      <c r="D944" s="20" t="n">
        <f aca="false">SQRT(B944^2+C944^2)</f>
        <v>4.77593993493166</v>
      </c>
      <c r="E944" s="32" t="n">
        <f aca="false">20*LOG10(MAX(D944,0.000000000001)/$K$3)</f>
        <v>13.581177124186</v>
      </c>
    </row>
    <row r="945" customFormat="false" ht="15" hidden="false" customHeight="false" outlineLevel="0" collapsed="false">
      <c r="A945" s="13" t="n">
        <f aca="false">A944+$F$3</f>
        <v>37560</v>
      </c>
      <c r="B945" s="20" t="n">
        <f aca="false">SUMPRODUCT(固有振動数!$Q$6:$Q$22*(1-($A945/固有振動数!$O$6:$O$22)^2)/((1-($A945/固有振動数!$O$6:$O$22)^2)^2+固有振動数!$P$6:$P$22^2))</f>
        <v>-4.58997844188491</v>
      </c>
      <c r="C945" s="20" t="n">
        <f aca="false">-SUMPRODUCT(固有振動数!$Q$6:$Q$22*固有振動数!$P$6:$P$22/((1-($A945/固有振動数!$O$6:$O$22)^2)^2+固有振動数!$P$6:$P$22^2))</f>
        <v>-0.0163520454910249</v>
      </c>
      <c r="D945" s="20" t="n">
        <f aca="false">SQRT(B945^2+C945^2)</f>
        <v>4.59000756931401</v>
      </c>
      <c r="E945" s="32" t="n">
        <f aca="false">20*LOG10(MAX(D945,0.000000000001)/$K$3)</f>
        <v>13.23626803453</v>
      </c>
    </row>
    <row r="946" customFormat="false" ht="15" hidden="false" customHeight="false" outlineLevel="0" collapsed="false">
      <c r="A946" s="13" t="n">
        <f aca="false">A945+$F$3</f>
        <v>37600</v>
      </c>
      <c r="B946" s="20" t="n">
        <f aca="false">SUMPRODUCT(固有振動数!$Q$6:$Q$22*(1-($A946/固有振動数!$O$6:$O$22)^2)/((1-($A946/固有振動数!$O$6:$O$22)^2)^2+固有振動数!$P$6:$P$22^2))</f>
        <v>-4.40800466706163</v>
      </c>
      <c r="C946" s="20" t="n">
        <f aca="false">-SUMPRODUCT(固有振動数!$Q$6:$Q$22*固有振動数!$P$6:$P$22/((1-($A946/固有振動数!$O$6:$O$22)^2)^2+固有振動数!$P$6:$P$22^2))</f>
        <v>-0.0160442328389913</v>
      </c>
      <c r="D946" s="20" t="n">
        <f aca="false">SQRT(B946^2+C946^2)</f>
        <v>4.40803386582323</v>
      </c>
      <c r="E946" s="32" t="n">
        <f aca="false">20*LOG10(MAX(D946,0.000000000001)/$K$3)</f>
        <v>12.8848984486516</v>
      </c>
    </row>
    <row r="947" customFormat="false" ht="15" hidden="false" customHeight="false" outlineLevel="0" collapsed="false">
      <c r="A947" s="13" t="n">
        <f aca="false">A946+$F$3</f>
        <v>37640</v>
      </c>
      <c r="B947" s="20" t="n">
        <f aca="false">SUMPRODUCT(固有振動数!$Q$6:$Q$22*(1-($A947/固有振動数!$O$6:$O$22)^2)/((1-($A947/固有振動数!$O$6:$O$22)^2)^2+固有振動数!$P$6:$P$22^2))</f>
        <v>-4.22979112304461</v>
      </c>
      <c r="C947" s="20" t="n">
        <f aca="false">-SUMPRODUCT(固有振動数!$Q$6:$Q$22*固有振動数!$P$6:$P$22/((1-($A947/固有振動数!$O$6:$O$22)^2)^2+固有振動数!$P$6:$P$22^2))</f>
        <v>-0.0157530051366687</v>
      </c>
      <c r="D947" s="20" t="n">
        <f aca="false">SQRT(B947^2+C947^2)</f>
        <v>4.22982045739034</v>
      </c>
      <c r="E947" s="32" t="n">
        <f aca="false">20*LOG10(MAX(D947,0.000000000001)/$K$3)</f>
        <v>12.5264386665576</v>
      </c>
    </row>
    <row r="948" customFormat="false" ht="15" hidden="false" customHeight="false" outlineLevel="0" collapsed="false">
      <c r="A948" s="13" t="n">
        <f aca="false">A947+$F$3</f>
        <v>37680</v>
      </c>
      <c r="B948" s="20" t="n">
        <f aca="false">SUMPRODUCT(固有振動数!$Q$6:$Q$22*(1-($A948/固有振動数!$O$6:$O$22)^2)/((1-($A948/固有振動数!$O$6:$O$22)^2)^2+固有振動数!$P$6:$P$22^2))</f>
        <v>-4.05515099533737</v>
      </c>
      <c r="C948" s="20" t="n">
        <f aca="false">-SUMPRODUCT(固有振動数!$Q$6:$Q$22*固有振動数!$P$6:$P$22/((1-($A948/固有振動数!$O$6:$O$22)^2)^2+固有振動数!$P$6:$P$22^2))</f>
        <v>-0.0154774122193219</v>
      </c>
      <c r="D948" s="20" t="n">
        <f aca="false">SQRT(B948^2+C948^2)</f>
        <v>4.05518053177349</v>
      </c>
      <c r="E948" s="32" t="n">
        <f aca="false">20*LOG10(MAX(D948,0.000000000001)/$K$3)</f>
        <v>12.16020386494</v>
      </c>
    </row>
    <row r="949" customFormat="false" ht="15" hidden="false" customHeight="false" outlineLevel="0" collapsed="false">
      <c r="A949" s="13" t="n">
        <f aca="false">A948+$F$3</f>
        <v>37720</v>
      </c>
      <c r="B949" s="20" t="n">
        <f aca="false">SUMPRODUCT(固有振動数!$Q$6:$Q$22*(1-($A949/固有振動数!$O$6:$O$22)^2)/((1-($A949/固有振動数!$O$6:$O$22)^2)^2+固有振動数!$P$6:$P$22^2))</f>
        <v>-3.88390813521997</v>
      </c>
      <c r="C949" s="20" t="n">
        <f aca="false">-SUMPRODUCT(固有振動数!$Q$6:$Q$22*固有振動数!$P$6:$P$22/((1-($A949/固有振動数!$O$6:$O$22)^2)^2+固有振動数!$P$6:$P$22^2))</f>
        <v>-0.0152165772373403</v>
      </c>
      <c r="D949" s="20" t="n">
        <f aca="false">SQRT(B949^2+C949^2)</f>
        <v>3.88393794325433</v>
      </c>
      <c r="E949" s="32" t="n">
        <f aca="false">20*LOG10(MAX(D949,0.000000000001)/$K$3)</f>
        <v>11.7854456445056</v>
      </c>
    </row>
    <row r="950" customFormat="false" ht="15" hidden="false" customHeight="false" outlineLevel="0" collapsed="false">
      <c r="A950" s="13" t="n">
        <f aca="false">A949+$F$3</f>
        <v>37760</v>
      </c>
      <c r="B950" s="20" t="n">
        <f aca="false">SUMPRODUCT(固有振動数!$Q$6:$Q$22*(1-($A950/固有振動数!$O$6:$O$22)^2)/((1-($A950/固有振動数!$O$6:$O$22)^2)^2+固有振動数!$P$6:$P$22^2))</f>
        <v>-3.71589625092089</v>
      </c>
      <c r="C950" s="20" t="n">
        <f aca="false">-SUMPRODUCT(固有振動数!$Q$6:$Q$22*固有振動数!$P$6:$P$22/((1-($A950/固有振動数!$O$6:$O$22)^2)^2+固有振動数!$P$6:$P$22^2))</f>
        <v>-0.0149696901393393</v>
      </c>
      <c r="D950" s="20" t="n">
        <f aca="false">SQRT(B950^2+C950^2)</f>
        <v>3.71592640390398</v>
      </c>
      <c r="E950" s="32" t="n">
        <f aca="false">20*LOG10(MAX(D950,0.000000000001)/$K$3)</f>
        <v>11.4013420790106</v>
      </c>
    </row>
    <row r="951" customFormat="false" ht="15" hidden="false" customHeight="false" outlineLevel="0" collapsed="false">
      <c r="A951" s="13" t="n">
        <f aca="false">A950+$F$3</f>
        <v>37800</v>
      </c>
      <c r="B951" s="20" t="n">
        <f aca="false">SUMPRODUCT(固有振動数!$Q$6:$Q$22*(1-($A951/固有振動数!$O$6:$O$22)^2)/((1-($A951/固有振動数!$O$6:$O$22)^2)^2+固有振動数!$P$6:$P$22^2))</f>
        <v>-3.55095817005414</v>
      </c>
      <c r="C951" s="20" t="n">
        <f aca="false">-SUMPRODUCT(固有振動数!$Q$6:$Q$22*固有振動数!$P$6:$P$22/((1-($A951/固有振動数!$O$6:$O$22)^2)^2+固有振動数!$P$6:$P$22^2))</f>
        <v>-0.0147360018306678</v>
      </c>
      <c r="D951" s="20" t="n">
        <f aca="false">SQRT(B951^2+C951^2)</f>
        <v>3.55098874614159</v>
      </c>
      <c r="E951" s="32" t="n">
        <f aca="false">20*LOG10(MAX(D951,0.000000000001)/$K$3)</f>
        <v>11.0069859185958</v>
      </c>
    </row>
    <row r="952" customFormat="false" ht="15" hidden="false" customHeight="false" outlineLevel="0" collapsed="false">
      <c r="A952" s="13" t="n">
        <f aca="false">A951+$F$3</f>
        <v>37840</v>
      </c>
      <c r="B952" s="20" t="n">
        <f aca="false">SUMPRODUCT(固有振動数!$Q$6:$Q$22*(1-($A952/固有振動数!$O$6:$O$22)^2)/((1-($A952/固有振動数!$O$6:$O$22)^2)^2+固有振動数!$P$6:$P$22^2))</f>
        <v>-3.38894516600743</v>
      </c>
      <c r="C952" s="20" t="n">
        <f aca="false">-SUMPRODUCT(固有振動数!$Q$6:$Q$22*固有振動数!$P$6:$P$22/((1-($A952/固有振動数!$O$6:$O$22)^2)^2+固有振動数!$P$6:$P$22^2))</f>
        <v>-0.0145148189287754</v>
      </c>
      <c r="D952" s="20" t="n">
        <f aca="false">SQRT(B952^2+C952^2)</f>
        <v>3.38897624927848</v>
      </c>
      <c r="E952" s="32" t="n">
        <f aca="false">20*LOG10(MAX(D952,0.000000000001)/$K$3)</f>
        <v>10.6013705042575</v>
      </c>
    </row>
    <row r="953" customFormat="false" ht="15" hidden="false" customHeight="false" outlineLevel="0" collapsed="false">
      <c r="A953" s="13" t="n">
        <f aca="false">A952+$F$3</f>
        <v>37880</v>
      </c>
      <c r="B953" s="20" t="n">
        <f aca="false">SUMPRODUCT(固有振動数!$Q$6:$Q$22*(1-($A953/固有振動数!$O$6:$O$22)^2)/((1-($A953/固有振動数!$O$6:$O$22)^2)^2+固有振動数!$P$6:$P$22^2))</f>
        <v>-3.22971634181229</v>
      </c>
      <c r="C953" s="20" t="n">
        <f aca="false">-SUMPRODUCT(固有振動数!$Q$6:$Q$22*固有振動数!$P$6:$P$22/((1-($A953/固有振動数!$O$6:$O$22)^2)^2+固有振動数!$P$6:$P$22^2))</f>
        <v>-0.0143054990470504</v>
      </c>
      <c r="D953" s="20" t="n">
        <f aca="false">SQRT(B953^2+C953^2)</f>
        <v>3.22974802358827</v>
      </c>
      <c r="E953" s="32" t="n">
        <f aca="false">20*LOG10(MAX(D953,0.000000000001)/$K$3)</f>
        <v>10.1833728228829</v>
      </c>
    </row>
    <row r="954" customFormat="false" ht="15" hidden="false" customHeight="false" outlineLevel="0" collapsed="false">
      <c r="A954" s="13" t="n">
        <f aca="false">A953+$F$3</f>
        <v>37920</v>
      </c>
      <c r="B954" s="20" t="n">
        <f aca="false">SUMPRODUCT(固有振動数!$Q$6:$Q$22*(1-($A954/固有振動数!$O$6:$O$22)^2)/((1-($A954/固有振動数!$O$6:$O$22)^2)^2+固有振動数!$P$6:$P$22^2))</f>
        <v>-3.07313806576147</v>
      </c>
      <c r="C954" s="20" t="n">
        <f aca="false">-SUMPRODUCT(固有振動数!$Q$6:$Q$22*固有振動数!$P$6:$P$22/((1-($A954/固有振動数!$O$6:$O$22)^2)^2+固有振動数!$P$6:$P$22^2))</f>
        <v>-0.0141074465474522</v>
      </c>
      <c r="D954" s="20" t="n">
        <f aca="false">SQRT(B954^2+C954^2)</f>
        <v>3.07317044618099</v>
      </c>
      <c r="E954" s="32" t="n">
        <f aca="false">20*LOG10(MAX(D954,0.000000000001)/$K$3)</f>
        <v>9.75173296095606</v>
      </c>
    </row>
    <row r="955" customFormat="false" ht="15" hidden="false" customHeight="false" outlineLevel="0" collapsed="false">
      <c r="A955" s="13" t="n">
        <f aca="false">A954+$F$3</f>
        <v>37960</v>
      </c>
      <c r="B955" s="20" t="n">
        <f aca="false">SUMPRODUCT(固有振動数!$Q$6:$Q$22*(1-($A955/固有振動数!$O$6:$O$22)^2)/((1-($A955/固有振動数!$O$6:$O$22)^2)^2+固有振動数!$P$6:$P$22^2))</f>
        <v>-2.91908345368116</v>
      </c>
      <c r="C955" s="20" t="n">
        <f aca="false">-SUMPRODUCT(固有振動数!$Q$6:$Q$22*固有振動数!$P$6:$P$22/((1-($A955/固有振動数!$O$6:$O$22)^2)^2+固有振動数!$P$6:$P$22^2))</f>
        <v>-0.0139201087097664</v>
      </c>
      <c r="D955" s="20" t="n">
        <f aca="false">SQRT(B955^2+C955^2)</f>
        <v>2.9191166436067</v>
      </c>
      <c r="E955" s="32" t="n">
        <f aca="false">20*LOG10(MAX(D955,0.000000000001)/$K$3)</f>
        <v>9.3050289820667</v>
      </c>
    </row>
    <row r="956" customFormat="false" ht="15" hidden="false" customHeight="false" outlineLevel="0" collapsed="false">
      <c r="A956" s="13" t="n">
        <f aca="false">A955+$F$3</f>
        <v>38000</v>
      </c>
      <c r="B956" s="20" t="n">
        <f aca="false">SUMPRODUCT(固有振動数!$Q$6:$Q$22*(1-($A956/固有振動数!$O$6:$O$22)^2)/((1-($A956/固有振動数!$O$6:$O$22)^2)^2+固有振動数!$P$6:$P$22^2))</f>
        <v>-2.76743189332836</v>
      </c>
      <c r="C956" s="20" t="n">
        <f aca="false">-SUMPRODUCT(固有振動数!$Q$6:$Q$22*固有振動数!$P$6:$P$22/((1-($A956/固有振動数!$O$6:$O$22)^2)^2+固有振動数!$P$6:$P$22^2))</f>
        <v>-0.0137429722717758</v>
      </c>
      <c r="D956" s="20" t="n">
        <f aca="false">SQRT(B956^2+C956^2)</f>
        <v>2.76746601668346</v>
      </c>
      <c r="E956" s="32" t="n">
        <f aca="false">20*LOG10(MAX(D956,0.000000000001)/$K$3)</f>
        <v>8.84164593260535</v>
      </c>
    </row>
    <row r="957" customFormat="false" ht="15" hidden="false" customHeight="false" outlineLevel="0" collapsed="false">
      <c r="A957" s="13" t="n">
        <f aca="false">A956+$F$3</f>
        <v>38040</v>
      </c>
      <c r="B957" s="20" t="n">
        <f aca="false">SUMPRODUCT(固有振動数!$Q$6:$Q$22*(1-($A957/固有振動数!$O$6:$O$22)^2)/((1-($A957/固有振動数!$O$6:$O$22)^2)^2+固有振動数!$P$6:$P$22^2))</f>
        <v>-2.61806860687651</v>
      </c>
      <c r="C957" s="20" t="n">
        <f aca="false">-SUMPRODUCT(固有振動数!$Q$6:$Q$22*固有振動数!$P$6:$P$22/((1-($A957/固有振動数!$O$6:$O$22)^2)^2+固有振動数!$P$6:$P$22^2))</f>
        <v>-0.0135755603002349</v>
      </c>
      <c r="D957" s="20" t="n">
        <f aca="false">SQRT(B957^2+C957^2)</f>
        <v>2.61810380354748</v>
      </c>
      <c r="E957" s="32" t="n">
        <f aca="false">20*LOG10(MAX(D957,0.000000000001)/$K$3)</f>
        <v>8.35973723248541</v>
      </c>
    </row>
    <row r="958" customFormat="false" ht="15" hidden="false" customHeight="false" outlineLevel="0" collapsed="false">
      <c r="A958" s="13" t="n">
        <f aca="false">A957+$F$3</f>
        <v>38080</v>
      </c>
      <c r="B958" s="20" t="n">
        <f aca="false">SUMPRODUCT(固有振動数!$Q$6:$Q$22*(1-($A958/固有振動数!$O$6:$O$22)^2)/((1-($A958/固有振動数!$O$6:$O$22)^2)^2+固有振動数!$P$6:$P$22^2))</f>
        <v>-2.47088424788545</v>
      </c>
      <c r="C958" s="20" t="n">
        <f aca="false">-SUMPRODUCT(固有振動数!$Q$6:$Q$22*固有振動数!$P$6:$P$22/((1-($A958/固有振動数!$O$6:$O$22)^2)^2+固有振動数!$P$6:$P$22^2))</f>
        <v>-0.0134174293573724</v>
      </c>
      <c r="D958" s="20" t="n">
        <f aca="false">SQRT(B958^2+C958^2)</f>
        <v>2.47092067737089</v>
      </c>
      <c r="E958" s="32" t="n">
        <f aca="false">20*LOG10(MAX(D958,0.000000000001)/$K$3)</f>
        <v>7.85717607410341</v>
      </c>
    </row>
    <row r="959" customFormat="false" ht="15" hidden="false" customHeight="false" outlineLevel="0" collapsed="false">
      <c r="A959" s="13" t="n">
        <f aca="false">A958+$F$3</f>
        <v>38120</v>
      </c>
      <c r="B959" s="20" t="n">
        <f aca="false">SUMPRODUCT(固有振動数!$Q$6:$Q$22*(1-($A959/固有振動数!$O$6:$O$22)^2)/((1-($A959/固有振動数!$O$6:$O$22)^2)^2+固有振動数!$P$6:$P$22^2))</f>
        <v>-2.32577452953393</v>
      </c>
      <c r="C959" s="20" t="n">
        <f aca="false">-SUMPRODUCT(固有振動数!$Q$6:$Q$22*固有振動数!$P$6:$P$22/((1-($A959/固有振動数!$O$6:$O$22)^2)^2+固有振動数!$P$6:$P$22^2))</f>
        <v>-0.0132681669318569</v>
      </c>
      <c r="D959" s="20" t="n">
        <f aca="false">SQRT(B959^2+C959^2)</f>
        <v>2.32581237559751</v>
      </c>
      <c r="E959" s="32" t="n">
        <f aca="false">20*LOG10(MAX(D959,0.000000000001)/$K$3)</f>
        <v>7.33149354121686</v>
      </c>
    </row>
    <row r="960" customFormat="false" ht="15" hidden="false" customHeight="false" outlineLevel="0" collapsed="false">
      <c r="A960" s="13" t="n">
        <f aca="false">A959+$F$3</f>
        <v>38160</v>
      </c>
      <c r="B960" s="20" t="n">
        <f aca="false">SUMPRODUCT(固有振動数!$Q$6:$Q$22*(1-($A960/固有振動数!$O$6:$O$22)^2)/((1-($A960/固有振動数!$O$6:$O$22)^2)^2+固有振動数!$P$6:$P$22^2))</f>
        <v>-2.18263988122805</v>
      </c>
      <c r="C960" s="20" t="n">
        <f aca="false">-SUMPRODUCT(固有振動数!$Q$6:$Q$22*固有振動数!$P$6:$P$22/((1-($A960/固有振動数!$O$6:$O$22)^2)^2+固有振動数!$P$6:$P$22^2))</f>
        <v>-0.013127389106806</v>
      </c>
      <c r="D960" s="20" t="n">
        <f aca="false">SQRT(B960^2+C960^2)</f>
        <v>2.18267935791586</v>
      </c>
      <c r="E960" s="32" t="n">
        <f aca="false">20*LOG10(MAX(D960,0.000000000001)/$K$3)</f>
        <v>6.77979882489597</v>
      </c>
    </row>
    <row r="961" customFormat="false" ht="15" hidden="false" customHeight="false" outlineLevel="0" collapsed="false">
      <c r="A961" s="13" t="n">
        <f aca="false">A960+$F$3</f>
        <v>38200</v>
      </c>
      <c r="B961" s="20" t="n">
        <f aca="false">SUMPRODUCT(固有振動数!$Q$6:$Q$22*(1-($A961/固有振動数!$O$6:$O$22)^2)/((1-($A961/固有振動数!$O$6:$O$22)^2)^2+固有振動数!$P$6:$P$22^2))</f>
        <v>-2.04138513099729</v>
      </c>
      <c r="C961" s="20" t="n">
        <f aca="false">-SUMPRODUCT(固有振動数!$Q$6:$Q$22*固有振動数!$P$6:$P$22/((1-($A961/固有振動数!$O$6:$O$22)^2)^2+固有振動数!$P$6:$P$22^2))</f>
        <v>-0.0129947384406135</v>
      </c>
      <c r="D961" s="20" t="n">
        <f aca="false">SQRT(B961^2+C961^2)</f>
        <v>2.04142649054135</v>
      </c>
      <c r="E961" s="32" t="n">
        <f aca="false">20*LOG10(MAX(D961,0.000000000001)/$K$3)</f>
        <v>6.19867492175107</v>
      </c>
    </row>
    <row r="962" customFormat="false" ht="15" hidden="false" customHeight="false" outlineLevel="0" collapsed="false">
      <c r="A962" s="13" t="n">
        <f aca="false">A961+$F$3</f>
        <v>38240</v>
      </c>
      <c r="B962" s="20" t="n">
        <f aca="false">SUMPRODUCT(固有振動数!$Q$6:$Q$22*(1-($A962/固有振動数!$O$6:$O$22)^2)/((1-($A962/固有振動数!$O$6:$O$22)^2)^2+固有振動数!$P$6:$P$22^2))</f>
        <v>-1.90191921135168</v>
      </c>
      <c r="C962" s="20" t="n">
        <f aca="false">-SUMPRODUCT(固有振動数!$Q$6:$Q$22*固有振動数!$P$6:$P$22/((1-($A962/固有振動数!$O$6:$O$22)^2)^2+固有振動数!$P$6:$P$22^2))</f>
        <v>-0.0128698820391424</v>
      </c>
      <c r="D962" s="20" t="n">
        <f aca="false">SQRT(B962^2+C962^2)</f>
        <v>1.90196275472794</v>
      </c>
      <c r="E962" s="32" t="n">
        <f aca="false">20*LOG10(MAX(D962,0.000000000001)/$K$3)</f>
        <v>5.5840401618648</v>
      </c>
    </row>
    <row r="963" customFormat="false" ht="15" hidden="false" customHeight="false" outlineLevel="0" collapsed="false">
      <c r="A963" s="13" t="n">
        <f aca="false">A962+$F$3</f>
        <v>38280</v>
      </c>
      <c r="B963" s="20" t="n">
        <f aca="false">SUMPRODUCT(固有振動数!$Q$6:$Q$22*(1-($A963/固有振動数!$O$6:$O$22)^2)/((1-($A963/固有振動数!$O$6:$O$22)^2)^2+固有振動数!$P$6:$P$22^2))</f>
        <v>-1.76415488650667</v>
      </c>
      <c r="C963" s="20" t="n">
        <f aca="false">-SUMPRODUCT(固有振動数!$Q$6:$Q$22*固有振動数!$P$6:$P$22/((1-($A963/固有振動数!$O$6:$O$22)^2)^2+固有振動数!$P$6:$P$22^2))</f>
        <v>-0.0127525098002672</v>
      </c>
      <c r="D963" s="20" t="n">
        <f aca="false">SQRT(B963^2+C963^2)</f>
        <v>1.76420097780598</v>
      </c>
      <c r="E963" s="32" t="n">
        <f aca="false">20*LOG10(MAX(D963,0.000000000001)/$K$3)</f>
        <v>4.93096116898021</v>
      </c>
    </row>
    <row r="964" customFormat="false" ht="15" hidden="false" customHeight="false" outlineLevel="0" collapsed="false">
      <c r="A964" s="13" t="n">
        <f aca="false">A963+$F$3</f>
        <v>38320</v>
      </c>
      <c r="B964" s="20" t="n">
        <f aca="false">SUMPRODUCT(固有振動数!$Q$6:$Q$22*(1-($A964/固有振動数!$O$6:$O$22)^2)/((1-($A964/固有振動数!$O$6:$O$22)^2)^2+固有振動数!$P$6:$P$22^2))</f>
        <v>-1.62800849908969</v>
      </c>
      <c r="C964" s="20" t="n">
        <f aca="false">-SUMPRODUCT(固有振動数!$Q$6:$Q$22*固有振動数!$P$6:$P$22/((1-($A964/固有振動数!$O$6:$O$22)^2)^2+固有振動数!$P$6:$P$22^2))</f>
        <v>-0.0126423328138804</v>
      </c>
      <c r="D964" s="20" t="n">
        <f aca="false">SQRT(B964^2+C964^2)</f>
        <v>1.62805758549483</v>
      </c>
      <c r="E964" s="32" t="n">
        <f aca="false">20*LOG10(MAX(D964,0.000000000001)/$K$3)</f>
        <v>4.2333952422718</v>
      </c>
    </row>
    <row r="965" customFormat="false" ht="15" hidden="false" customHeight="false" outlineLevel="0" collapsed="false">
      <c r="A965" s="13" t="n">
        <f aca="false">A964+$F$3</f>
        <v>38360</v>
      </c>
      <c r="B965" s="20" t="n">
        <f aca="false">SUMPRODUCT(固有振動数!$Q$6:$Q$22*(1-($A965/固有振動数!$O$6:$O$22)^2)/((1-($A965/固有振動数!$O$6:$O$22)^2)^2+固有振動数!$P$6:$P$22^2))</f>
        <v>-1.49339973462484</v>
      </c>
      <c r="C965" s="20" t="n">
        <f aca="false">-SUMPRODUCT(固有振動数!$Q$6:$Q$22*固有振動数!$P$6:$P$22/((1-($A965/固有振動数!$O$6:$O$22)^2)^2+固有振動数!$P$6:$P$22^2))</f>
        <v>-0.0125390819023466</v>
      </c>
      <c r="D965" s="20" t="n">
        <f aca="false">SQRT(B965^2+C965^2)</f>
        <v>1.49345237485248</v>
      </c>
      <c r="E965" s="32" t="n">
        <f aca="false">20*LOG10(MAX(D965,0.000000000001)/$K$3)</f>
        <v>3.48382755629804</v>
      </c>
    </row>
    <row r="966" customFormat="false" ht="15" hidden="false" customHeight="false" outlineLevel="0" collapsed="false">
      <c r="A966" s="13" t="n">
        <f aca="false">A965+$F$3</f>
        <v>38400</v>
      </c>
      <c r="B966" s="20" t="n">
        <f aca="false">SUMPRODUCT(固有振動数!$Q$6:$Q$22*(1-($A966/固有振動数!$O$6:$O$22)^2)/((1-($A966/固有振動数!$O$6:$O$22)^2)^2+固有振動数!$P$6:$P$22^2))</f>
        <v>-1.36025140225698</v>
      </c>
      <c r="C966" s="20" t="n">
        <f aca="false">-SUMPRODUCT(固有振動数!$Q$6:$Q$22*固有振動数!$P$6:$P$22/((1-($A966/固有振動数!$O$6:$O$22)^2)^2+固有振動数!$P$6:$P$22^2))</f>
        <v>-0.0124425062880345</v>
      </c>
      <c r="D966" s="20" t="n">
        <f aca="false">SQRT(B966^2+C966^2)</f>
        <v>1.36030830818046</v>
      </c>
      <c r="E966" s="32" t="n">
        <f aca="false">20*LOG10(MAX(D966,0.000000000001)/$K$3)</f>
        <v>2.6727470110339</v>
      </c>
    </row>
    <row r="967" customFormat="false" ht="15" hidden="false" customHeight="false" outlineLevel="0" collapsed="false">
      <c r="A967" s="13" t="n">
        <f aca="false">A966+$F$3</f>
        <v>38440</v>
      </c>
      <c r="B967" s="20" t="n">
        <f aca="false">SUMPRODUCT(固有振動数!$Q$6:$Q$22*(1-($A967/固有振動数!$O$6:$O$22)^2)/((1-($A967/固有振動数!$O$6:$O$22)^2)^2+固有振動数!$P$6:$P$22^2))</f>
        <v>-1.22848923032134</v>
      </c>
      <c r="C967" s="20" t="n">
        <f aca="false">-SUMPRODUCT(固有振動数!$Q$6:$Q$22*固有振動数!$P$6:$P$22/((1-($A967/固有振動数!$O$6:$O$22)^2)^2+固有振動数!$P$6:$P$22^2))</f>
        <v>-0.0123523723760073</v>
      </c>
      <c r="D967" s="20" t="n">
        <f aca="false">SQRT(B967^2+C967^2)</f>
        <v>1.22855132986735</v>
      </c>
      <c r="E967" s="32" t="n">
        <f aca="false">20*LOG10(MAX(D967,0.000000000001)/$K$3)</f>
        <v>1.78786612739149</v>
      </c>
    </row>
    <row r="968" customFormat="false" ht="15" hidden="false" customHeight="false" outlineLevel="0" collapsed="false">
      <c r="A968" s="13" t="n">
        <f aca="false">A967+$F$3</f>
        <v>38480</v>
      </c>
      <c r="B968" s="20" t="n">
        <f aca="false">SUMPRODUCT(固有振動数!$Q$6:$Q$22*(1-($A968/固有振動数!$O$6:$O$22)^2)/((1-($A968/固有振動数!$O$6:$O$22)^2)^2+固有振動数!$P$6:$P$22^2))</f>
        <v>-1.09804167549526</v>
      </c>
      <c r="C968" s="20" t="n">
        <f aca="false">-SUMPRODUCT(固有振動数!$Q$6:$Q$22*固有振動数!$P$6:$P$22/((1-($A968/固有振動数!$O$6:$O$22)^2)^2+固有振動数!$P$6:$P$22^2))</f>
        <v>-0.0122684626412287</v>
      </c>
      <c r="D968" s="20" t="n">
        <f aca="false">SQRT(B968^2+C968^2)</f>
        <v>1.09811021136314</v>
      </c>
      <c r="E968" s="32" t="n">
        <f aca="false">20*LOG10(MAX(D968,0.000000000001)/$K$3)</f>
        <v>0.812918601641048</v>
      </c>
    </row>
    <row r="969" customFormat="false" ht="15" hidden="false" customHeight="false" outlineLevel="0" collapsed="false">
      <c r="A969" s="13" t="n">
        <f aca="false">A968+$F$3</f>
        <v>38520</v>
      </c>
      <c r="B969" s="20" t="n">
        <f aca="false">SUMPRODUCT(固有振動数!$Q$6:$Q$22*(1-($A969/固有振動数!$O$6:$O$22)^2)/((1-($A969/固有振動数!$O$6:$O$22)^2)^2+固有振動数!$P$6:$P$22^2))</f>
        <v>-0.968839744384775</v>
      </c>
      <c r="C969" s="20" t="n">
        <f aca="false">-SUMPRODUCT(固有振動数!$Q$6:$Q$22*固有振動数!$P$6:$P$22/((1-($A969/固有振動数!$O$6:$O$22)^2)^2+固有振動数!$P$6:$P$22^2))</f>
        <v>-0.0121905746107744</v>
      </c>
      <c r="D969" s="20" t="n">
        <f aca="false">SQRT(B969^2+C969^2)</f>
        <v>0.968916436236323</v>
      </c>
      <c r="E969" s="32" t="n">
        <f aca="false">20*LOG10(MAX(D969,0.000000000001)/$K$3)</f>
        <v>-0.274273537341137</v>
      </c>
    </row>
    <row r="970" customFormat="false" ht="15" hidden="false" customHeight="false" outlineLevel="0" collapsed="false">
      <c r="A970" s="13" t="n">
        <f aca="false">A969+$F$3</f>
        <v>38560</v>
      </c>
      <c r="B970" s="20" t="n">
        <f aca="false">SUMPRODUCT(固有振動数!$Q$6:$Q$22*(1-($A970/固有振動数!$O$6:$O$22)^2)/((1-($A970/固有振動数!$O$6:$O$22)^2)^2+固有振動数!$P$6:$P$22^2))</f>
        <v>-0.840816826503119</v>
      </c>
      <c r="C970" s="20" t="n">
        <f aca="false">-SUMPRODUCT(固有振動数!$Q$6:$Q$22*固有振動数!$P$6:$P$22/((1-($A970/固有振動数!$O$6:$O$22)^2)^2+固有振動数!$P$6:$P$22^2))</f>
        <v>-0.0121185199325393</v>
      </c>
      <c r="D970" s="20" t="n">
        <f aca="false">SQRT(B970^2+C970^2)</f>
        <v>0.840904152835584</v>
      </c>
      <c r="E970" s="32" t="n">
        <f aca="false">20*LOG10(MAX(D970,0.000000000001)/$K$3)</f>
        <v>-1.50507005471486</v>
      </c>
    </row>
    <row r="971" customFormat="false" ht="15" hidden="false" customHeight="false" outlineLevel="0" collapsed="false">
      <c r="A971" s="13" t="n">
        <f aca="false">A970+$F$3</f>
        <v>38600</v>
      </c>
      <c r="B971" s="20" t="n">
        <f aca="false">SUMPRODUCT(固有振動数!$Q$6:$Q$22*(1-($A971/固有振動数!$O$6:$O$22)^2)/((1-($A971/固有振動数!$O$6:$O$22)^2)^2+固有振動数!$P$6:$P$22^2))</f>
        <v>-0.713908537690591</v>
      </c>
      <c r="C971" s="20" t="n">
        <f aca="false">-SUMPRODUCT(固有振動数!$Q$6:$Q$22*固有振動数!$P$6:$P$22/((1-($A971/固有振動数!$O$6:$O$22)^2)^2+固有振動数!$P$6:$P$22^2))</f>
        <v>-0.0120521235228186</v>
      </c>
      <c r="D971" s="20" t="n">
        <f aca="false">SQRT(B971^2+C971^2)</f>
        <v>0.714010261739233</v>
      </c>
      <c r="E971" s="32" t="n">
        <f aca="false">20*LOG10(MAX(D971,0.000000000001)/$K$3)</f>
        <v>-2.92591093017124</v>
      </c>
    </row>
    <row r="972" customFormat="false" ht="15" hidden="false" customHeight="false" outlineLevel="0" collapsed="false">
      <c r="A972" s="13" t="n">
        <f aca="false">A971+$F$3</f>
        <v>38640</v>
      </c>
      <c r="B972" s="20" t="n">
        <f aca="false">SUMPRODUCT(固有振動数!$Q$6:$Q$22*(1-($A972/固有振動数!$O$6:$O$22)^2)/((1-($A972/固有振動数!$O$6:$O$22)^2)^2+固有振動数!$P$6:$P$22^2))</f>
        <v>-0.588052573109916</v>
      </c>
      <c r="C972" s="20" t="n">
        <f aca="false">-SUMPRODUCT(固有振動数!$Q$6:$Q$22*固有振動数!$P$6:$P$22/((1-($A972/固有振動数!$O$6:$O$22)^2)^2+固有振動数!$P$6:$P$22^2))</f>
        <v>-0.0119912227859297</v>
      </c>
      <c r="D972" s="20" t="n">
        <f aca="false">SQRT(B972^2+C972^2)</f>
        <v>0.58817481939054</v>
      </c>
      <c r="E972" s="32" t="n">
        <f aca="false">20*LOG10(MAX(D972,0.000000000001)/$K$3)</f>
        <v>-4.60987144403987</v>
      </c>
    </row>
    <row r="973" customFormat="false" ht="15" hidden="false" customHeight="false" outlineLevel="0" collapsed="false">
      <c r="A973" s="13" t="n">
        <f aca="false">A972+$F$3</f>
        <v>38680</v>
      </c>
      <c r="B973" s="20" t="n">
        <f aca="false">SUMPRODUCT(固有振動数!$Q$6:$Q$22*(1-($A973/固有振動数!$O$6:$O$22)^2)/((1-($A973/固有振動数!$O$6:$O$22)^2)^2+固有振動数!$P$6:$P$22^2))</f>
        <v>-0.463188569025049</v>
      </c>
      <c r="C973" s="20" t="n">
        <f aca="false">-SUMPRODUCT(固有振動数!$Q$6:$Q$22*固有振動数!$P$6:$P$22/((1-($A973/固有振動数!$O$6:$O$22)^2)^2+固有振動数!$P$6:$P$22^2))</f>
        <v>-0.0119356668997448</v>
      </c>
      <c r="D973" s="20" t="n">
        <f aca="false">SQRT(B973^2+C973^2)</f>
        <v>0.463342325521654</v>
      </c>
      <c r="E973" s="32" t="n">
        <f aca="false">20*LOG10(MAX(D973,0.000000000001)/$K$3)</f>
        <v>-6.68196051866937</v>
      </c>
    </row>
    <row r="974" customFormat="false" ht="15" hidden="false" customHeight="false" outlineLevel="0" collapsed="false">
      <c r="A974" s="13" t="n">
        <f aca="false">A973+$F$3</f>
        <v>38720</v>
      </c>
      <c r="B974" s="20" t="n">
        <f aca="false">SUMPRODUCT(固有振動数!$Q$6:$Q$22*(1-($A974/固有振動数!$O$6:$O$22)^2)/((1-($A974/固有振動数!$O$6:$O$22)^2)^2+固有振動数!$P$6:$P$22^2))</f>
        <v>-0.339257972639684</v>
      </c>
      <c r="C974" s="20" t="n">
        <f aca="false">-SUMPRODUCT(固有振動数!$Q$6:$Q$22*固有振動数!$P$6:$P$22/((1-($A974/固有振動数!$O$6:$O$22)^2)^2+固有振動数!$P$6:$P$22^2))</f>
        <v>-0.0118853161616276</v>
      </c>
      <c r="D974" s="20" t="n">
        <f aca="false">SQRT(B974^2+C974^2)</f>
        <v>0.339466099544344</v>
      </c>
      <c r="E974" s="32" t="n">
        <f aca="false">20*LOG10(MAX(D974,0.000000000001)/$K$3)</f>
        <v>-9.38407179237881</v>
      </c>
    </row>
    <row r="975" customFormat="false" ht="15" hidden="false" customHeight="false" outlineLevel="0" collapsed="false">
      <c r="A975" s="13" t="n">
        <f aca="false">A974+$F$3</f>
        <v>38760</v>
      </c>
      <c r="B975" s="20" t="n">
        <f aca="false">SUMPRODUCT(固有振動数!$Q$6:$Q$22*(1-($A975/固有振動数!$O$6:$O$22)^2)/((1-($A975/固有振動数!$O$6:$O$22)^2)^2+固有振動数!$P$6:$P$22^2))</f>
        <v>-0.216203919331691</v>
      </c>
      <c r="C975" s="20" t="n">
        <f aca="false">-SUMPRODUCT(固有振動数!$Q$6:$Q$22*固有振動数!$P$6:$P$22/((1-($A975/固有振動数!$O$6:$O$22)^2)^2+固有振動数!$P$6:$P$22^2))</f>
        <v>-0.0118400413898298</v>
      </c>
      <c r="D975" s="20" t="n">
        <f aca="false">SQRT(B975^2+C975^2)</f>
        <v>0.216527876529784</v>
      </c>
      <c r="E975" s="32" t="n">
        <f aca="false">20*LOG10(MAX(D975,0.000000000001)/$K$3)</f>
        <v>-13.2897236634684</v>
      </c>
    </row>
    <row r="976" customFormat="false" ht="15" hidden="false" customHeight="false" outlineLevel="0" collapsed="false">
      <c r="A976" s="13" t="n">
        <f aca="false">A975+$F$3</f>
        <v>38800</v>
      </c>
      <c r="B976" s="20" t="n">
        <f aca="false">SUMPRODUCT(固有振動数!$Q$6:$Q$22*(1-($A976/固有振動数!$O$6:$O$22)^2)/((1-($A976/固有振動数!$O$6:$O$22)^2)^2+固有振動数!$P$6:$P$22^2))</f>
        <v>-0.0939711166742899</v>
      </c>
      <c r="C976" s="20" t="n">
        <f aca="false">-SUMPRODUCT(固有振動数!$Q$6:$Q$22*固有振動数!$P$6:$P$22/((1-($A976/固有振動数!$O$6:$O$22)^2)^2+固有振動数!$P$6:$P$22^2))</f>
        <v>-0.0117997233759</v>
      </c>
      <c r="D976" s="20" t="n">
        <f aca="false">SQRT(B976^2+C976^2)</f>
        <v>0.0947090504691118</v>
      </c>
      <c r="E976" s="32" t="n">
        <f aca="false">20*LOG10(MAX(D976,0.000000000001)/$K$3)</f>
        <v>-20.472170350033</v>
      </c>
    </row>
    <row r="977" customFormat="false" ht="15" hidden="false" customHeight="false" outlineLevel="0" collapsed="false">
      <c r="A977" s="13" t="n">
        <f aca="false">A976+$F$3</f>
        <v>38840</v>
      </c>
      <c r="B977" s="20" t="n">
        <f aca="false">SUMPRODUCT(固有振動数!$Q$6:$Q$22*(1-($A977/固有振動数!$O$6:$O$22)^2)/((1-($A977/固有振動数!$O$6:$O$22)^2)^2+固有振動数!$P$6:$P$22^2))</f>
        <v>0.0274942653156516</v>
      </c>
      <c r="C977" s="20" t="n">
        <f aca="false">-SUMPRODUCT(固有振動数!$Q$6:$Q$22*固有振動数!$P$6:$P$22/((1-($A977/固有振動数!$O$6:$O$22)^2)^2+固有振動数!$P$6:$P$22^2))</f>
        <v>-0.0117642523841063</v>
      </c>
      <c r="D977" s="20" t="n">
        <f aca="false">SQRT(B977^2+C977^2)</f>
        <v>0.0299053884677058</v>
      </c>
      <c r="E977" s="32" t="n">
        <f aca="false">20*LOG10(MAX(D977,0.000000000001)/$K$3)</f>
        <v>-30.4850110355539</v>
      </c>
    </row>
    <row r="978" customFormat="false" ht="15" hidden="false" customHeight="false" outlineLevel="0" collapsed="false">
      <c r="A978" s="13" t="n">
        <f aca="false">A977+$F$3</f>
        <v>38880</v>
      </c>
      <c r="B978" s="20" t="n">
        <f aca="false">SUMPRODUCT(固有振動数!$Q$6:$Q$22*(1-($A978/固有振動数!$O$6:$O$22)^2)/((1-($A978/固有振動数!$O$6:$O$22)^2)^2+固有振動数!$P$6:$P$22^2))</f>
        <v>0.148244698218575</v>
      </c>
      <c r="C978" s="20" t="n">
        <f aca="false">-SUMPRODUCT(固有振動数!$Q$6:$Q$22*固有振動数!$P$6:$P$22/((1-($A978/固有振動数!$O$6:$O$22)^2)^2+固有振動数!$P$6:$P$22^2))</f>
        <v>-0.0117335276942788</v>
      </c>
      <c r="D978" s="20" t="n">
        <f aca="false">SQRT(B978^2+C978^2)</f>
        <v>0.148708326001165</v>
      </c>
      <c r="E978" s="32" t="n">
        <f aca="false">20*LOG10(MAX(D978,0.000000000001)/$K$3)</f>
        <v>-16.5532943033828</v>
      </c>
    </row>
    <row r="979" customFormat="false" ht="15" hidden="false" customHeight="false" outlineLevel="0" collapsed="false">
      <c r="A979" s="13" t="n">
        <f aca="false">A978+$F$3</f>
        <v>38920</v>
      </c>
      <c r="B979" s="20" t="n">
        <f aca="false">SUMPRODUCT(固有振動数!$Q$6:$Q$22*(1-($A979/固有振動数!$O$6:$O$22)^2)/((1-($A979/固有振動数!$O$6:$O$22)^2)^2+固有振動数!$P$6:$P$22^2))</f>
        <v>0.268331394017998</v>
      </c>
      <c r="C979" s="20" t="n">
        <f aca="false">-SUMPRODUCT(固有振動数!$Q$6:$Q$22*固有振動数!$P$6:$P$22/((1-($A979/固有振動数!$O$6:$O$22)^2)^2+固有振動数!$P$6:$P$22^2))</f>
        <v>-0.0117074571848352</v>
      </c>
      <c r="D979" s="20" t="n">
        <f aca="false">SQRT(B979^2+C979^2)</f>
        <v>0.26858667422152</v>
      </c>
      <c r="E979" s="32" t="n">
        <f aca="false">20*LOG10(MAX(D979,0.000000000001)/$K$3)</f>
        <v>-11.41831076824</v>
      </c>
    </row>
    <row r="980" customFormat="false" ht="15" hidden="false" customHeight="false" outlineLevel="0" collapsed="false">
      <c r="A980" s="13" t="n">
        <f aca="false">A979+$F$3</f>
        <v>38960</v>
      </c>
      <c r="B980" s="20" t="n">
        <f aca="false">SUMPRODUCT(固有振動数!$Q$6:$Q$22*(1-($A980/固有振動数!$O$6:$O$22)^2)/((1-($A980/固有振動数!$O$6:$O$22)^2)^2+固有振動数!$P$6:$P$22^2))</f>
        <v>0.387804399111444</v>
      </c>
      <c r="C980" s="20" t="n">
        <f aca="false">-SUMPRODUCT(固有振動数!$Q$6:$Q$22*固有振動数!$P$6:$P$22/((1-($A980/固有振動数!$O$6:$O$22)^2)^2+固有振動数!$P$6:$P$22^2))</f>
        <v>-0.0116859569530845</v>
      </c>
      <c r="D980" s="20" t="n">
        <f aca="false">SQRT(B980^2+C980^2)</f>
        <v>0.387980429351916</v>
      </c>
      <c r="E980" s="32" t="n">
        <f aca="false">20*LOG10(MAX(D980,0.000000000001)/$K$3)</f>
        <v>-8.22380361382885</v>
      </c>
    </row>
    <row r="981" customFormat="false" ht="15" hidden="false" customHeight="false" outlineLevel="0" collapsed="false">
      <c r="A981" s="13" t="n">
        <f aca="false">A980+$F$3</f>
        <v>39000</v>
      </c>
      <c r="B981" s="20" t="n">
        <f aca="false">SUMPRODUCT(固有振動数!$Q$6:$Q$22*(1-($A981/固有振動数!$O$6:$O$22)^2)/((1-($A981/固有振動数!$O$6:$O$22)^2)^2+固有振動数!$P$6:$P$22^2))</f>
        <v>0.506712683934425</v>
      </c>
      <c r="C981" s="20" t="n">
        <f aca="false">-SUMPRODUCT(固有振動数!$Q$6:$Q$22*固有振動数!$P$6:$P$22/((1-($A981/固有振動数!$O$6:$O$22)^2)^2+固有振動数!$P$6:$P$22^2))</f>
        <v>-0.0116689509701938</v>
      </c>
      <c r="D981" s="20" t="n">
        <f aca="false">SQRT(B981^2+C981^2)</f>
        <v>0.506847026702114</v>
      </c>
      <c r="E981" s="32" t="n">
        <f aca="false">20*LOG10(MAX(D981,0.000000000001)/$K$3)</f>
        <v>-5.90246193695074</v>
      </c>
    </row>
    <row r="982" customFormat="false" ht="15" hidden="false" customHeight="false" outlineLevel="0" collapsed="false">
      <c r="A982" s="13" t="n">
        <f aca="false">A981+$F$3</f>
        <v>39040</v>
      </c>
      <c r="B982" s="20" t="n">
        <f aca="false">SUMPRODUCT(固有振動数!$Q$6:$Q$22*(1-($A982/固有振動数!$O$6:$O$22)^2)/((1-($A982/固有振動数!$O$6:$O$22)^2)^2+固有振動数!$P$6:$P$22^2))</f>
        <v>0.625104228575958</v>
      </c>
      <c r="C982" s="20" t="n">
        <f aca="false">-SUMPRODUCT(固有振動数!$Q$6:$Q$22*固有振動数!$P$6:$P$22/((1-($A982/固有振動数!$O$6:$O$22)^2)^2+固有振動数!$P$6:$P$22^2))</f>
        <v>-0.0116563707684746</v>
      </c>
      <c r="D982" s="20" t="n">
        <f aca="false">SQRT(B982^2+C982^2)</f>
        <v>0.625212897790053</v>
      </c>
      <c r="E982" s="32" t="n">
        <f aca="false">20*LOG10(MAX(D982,0.000000000001)/$K$3)</f>
        <v>-4.07944142619613</v>
      </c>
    </row>
    <row r="983" customFormat="false" ht="15" hidden="false" customHeight="false" outlineLevel="0" collapsed="false">
      <c r="A983" s="13" t="n">
        <f aca="false">A982+$F$3</f>
        <v>39080</v>
      </c>
      <c r="B983" s="20" t="n">
        <f aca="false">SUMPRODUCT(固有振動数!$Q$6:$Q$22*(1-($A983/固有振動数!$O$6:$O$22)^2)/((1-($A983/固有振動数!$O$6:$O$22)^2)^2+固有振動数!$P$6:$P$22^2))</f>
        <v>0.743026104738181</v>
      </c>
      <c r="C983" s="20" t="n">
        <f aca="false">-SUMPRODUCT(固有振動数!$Q$6:$Q$22*固有振動数!$P$6:$P$22/((1-($A983/固有振動数!$O$6:$O$22)^2)^2+固有振動数!$P$6:$P$22^2))</f>
        <v>-0.0116481551588831</v>
      </c>
      <c r="D983" s="20" t="n">
        <f aca="false">SQRT(B983^2+C983^2)</f>
        <v>0.743117401115732</v>
      </c>
      <c r="E983" s="32" t="n">
        <f aca="false">20*LOG10(MAX(D983,0.000000000001)/$K$3)</f>
        <v>-2.57885137945967</v>
      </c>
    </row>
    <row r="984" customFormat="false" ht="15" hidden="false" customHeight="false" outlineLevel="0" collapsed="false">
      <c r="A984" s="13" t="n">
        <f aca="false">A983+$F$3</f>
        <v>39120</v>
      </c>
      <c r="B984" s="20" t="n">
        <f aca="false">SUMPRODUCT(固有振動数!$Q$6:$Q$22*(1-($A984/固有振動数!$O$6:$O$22)^2)/((1-($A984/固有振動数!$O$6:$O$22)^2)^2+固有振動数!$P$6:$P$22^2))</f>
        <v>0.860524554369045</v>
      </c>
      <c r="C984" s="20" t="n">
        <f aca="false">-SUMPRODUCT(固有振動数!$Q$6:$Q$22*固有振動数!$P$6:$P$22/((1-($A984/固有振動数!$O$6:$O$22)^2)^2+固有振動数!$P$6:$P$22^2))</f>
        <v>-0.0116442499768545</v>
      </c>
      <c r="D984" s="20" t="n">
        <f aca="false">SQRT(B984^2+C984^2)</f>
        <v>0.860603333266591</v>
      </c>
      <c r="E984" s="32" t="n">
        <f aca="false">20*LOG10(MAX(D984,0.000000000001)/$K$3)</f>
        <v>-1.30393952304083</v>
      </c>
    </row>
    <row r="985" customFormat="false" ht="15" hidden="false" customHeight="false" outlineLevel="0" collapsed="false">
      <c r="A985" s="13" t="n">
        <f aca="false">A984+$F$3</f>
        <v>39160</v>
      </c>
      <c r="B985" s="20" t="n">
        <f aca="false">SUMPRODUCT(固有振動数!$Q$6:$Q$22*(1-($A985/固有振動数!$O$6:$O$22)^2)/((1-($A985/固有振動数!$O$6:$O$22)^2)^2+固有振動数!$P$6:$P$22^2))</f>
        <v>0.97764506527551</v>
      </c>
      <c r="C985" s="20" t="n">
        <f aca="false">-SUMPRODUCT(固有振動数!$Q$6:$Q$22*固有振動数!$P$6:$P$22/((1-($A985/固有振動数!$O$6:$O$22)^2)^2+固有振動数!$P$6:$P$22^2))</f>
        <v>-0.0116446078547881</v>
      </c>
      <c r="D985" s="20" t="n">
        <f aca="false">SQRT(B985^2+C985^2)</f>
        <v>0.977714411548509</v>
      </c>
      <c r="E985" s="32" t="n">
        <f aca="false">20*LOG10(MAX(D985,0.000000000001)/$K$3)</f>
        <v>-0.195759665008684</v>
      </c>
    </row>
    <row r="986" customFormat="false" ht="15" hidden="false" customHeight="false" outlineLevel="0" collapsed="false">
      <c r="A986" s="13" t="n">
        <f aca="false">A985+$F$3</f>
        <v>39200</v>
      </c>
      <c r="B986" s="20" t="n">
        <f aca="false">SUMPRODUCT(固有振動数!$Q$6:$Q$22*(1-($A986/固有振動数!$O$6:$O$22)^2)/((1-($A986/固有振動数!$O$6:$O$22)^2)^2+固有振動数!$P$6:$P$22^2))</f>
        <v>1.09443244400624</v>
      </c>
      <c r="C986" s="20" t="n">
        <f aca="false">-SUMPRODUCT(固有振動数!$Q$6:$Q$22*固有振動数!$P$6:$P$22/((1-($A986/固有振動数!$O$6:$O$22)^2)^2+固有振動数!$P$6:$P$22^2))</f>
        <v>-0.0116491880196892</v>
      </c>
      <c r="D986" s="20" t="n">
        <f aca="false">SQRT(B986^2+C986^2)</f>
        <v>1.09449443949021</v>
      </c>
      <c r="E986" s="32" t="n">
        <f aca="false">20*LOG10(MAX(D986,0.000000000001)/$K$3)</f>
        <v>0.784271190078047</v>
      </c>
    </row>
    <row r="987" customFormat="false" ht="15" hidden="false" customHeight="false" outlineLevel="0" collapsed="false">
      <c r="A987" s="13" t="n">
        <f aca="false">A986+$F$3</f>
        <v>39240</v>
      </c>
      <c r="B987" s="20" t="n">
        <f aca="false">SUMPRODUCT(固有振動数!$Q$6:$Q$22*(1-($A987/固有振動数!$O$6:$O$22)^2)/((1-($A987/固有振動数!$O$6:$O$22)^2)^2+固有振動数!$P$6:$P$22^2))</f>
        <v>1.21093088627514</v>
      </c>
      <c r="C987" s="20" t="n">
        <f aca="false">-SUMPRODUCT(固有振動数!$Q$6:$Q$22*固有振動数!$P$6:$P$22/((1-($A987/固有振動数!$O$6:$O$22)^2)^2+固有振動数!$P$6:$P$22^2))</f>
        <v>-0.0116579561146414</v>
      </c>
      <c r="D987" s="20" t="n">
        <f aca="false">SQRT(B987^2+C987^2)</f>
        <v>1.21098700210856</v>
      </c>
      <c r="E987" s="32" t="n">
        <f aca="false">20*LOG10(MAX(D987,0.000000000001)/$K$3)</f>
        <v>1.66278963506876</v>
      </c>
    </row>
    <row r="988" customFormat="false" ht="15" hidden="false" customHeight="false" outlineLevel="0" collapsed="false">
      <c r="A988" s="13" t="n">
        <f aca="false">A987+$F$3</f>
        <v>39280</v>
      </c>
      <c r="B988" s="20" t="n">
        <f aca="false">SUMPRODUCT(固有振動数!$Q$6:$Q$22*(1-($A988/固有振動数!$O$6:$O$22)^2)/((1-($A988/固有振動数!$O$6:$O$22)^2)^2+固有振動数!$P$6:$P$22^2))</f>
        <v>1.32718404518243</v>
      </c>
      <c r="C988" s="20" t="n">
        <f aca="false">-SUMPRODUCT(固有振動数!$Q$6:$Q$22*固有振動数!$P$6:$P$22/((1-($A988/固有振動数!$O$6:$O$22)^2)^2+固有振動数!$P$6:$P$22^2))</f>
        <v>-0.0116708840429388</v>
      </c>
      <c r="D988" s="20" t="n">
        <f aca="false">SQRT(B988^2+C988^2)</f>
        <v>1.32723535942994</v>
      </c>
      <c r="E988" s="32" t="n">
        <f aca="false">20*LOG10(MAX(D988,0.000000000001)/$K$3)</f>
        <v>2.45895886781174</v>
      </c>
    </row>
    <row r="989" customFormat="false" ht="15" hidden="false" customHeight="false" outlineLevel="0" collapsed="false">
      <c r="A989" s="13" t="n">
        <f aca="false">A988+$F$3</f>
        <v>39320</v>
      </c>
      <c r="B989" s="20" t="n">
        <f aca="false">SUMPRODUCT(固有振動数!$Q$6:$Q$22*(1-($A989/固有振動数!$O$6:$O$22)^2)/((1-($A989/固有振動数!$O$6:$O$22)^2)^2+固有振動数!$P$6:$P$22^2))</f>
        <v>1.44323509747617</v>
      </c>
      <c r="C989" s="20" t="n">
        <f aca="false">-SUMPRODUCT(固有振動数!$Q$6:$Q$22*固有振動数!$P$6:$P$22/((1-($A989/固有振動数!$O$6:$O$22)^2)^2+固有振動数!$P$6:$P$22^2))</f>
        <v>-0.0116879498338575</v>
      </c>
      <c r="D989" s="20" t="n">
        <f aca="false">SQRT(B989^2+C989^2)</f>
        <v>1.44328242376826</v>
      </c>
      <c r="E989" s="32" t="n">
        <f aca="false">20*LOG10(MAX(D989,0.000000000001)/$K$3)</f>
        <v>3.18702645669539</v>
      </c>
    </row>
    <row r="990" customFormat="false" ht="15" hidden="false" customHeight="false" outlineLevel="0" collapsed="false">
      <c r="A990" s="13" t="n">
        <f aca="false">A989+$F$3</f>
        <v>39360</v>
      </c>
      <c r="B990" s="20" t="n">
        <f aca="false">SUMPRODUCT(固有振動数!$Q$6:$Q$22*(1-($A990/固有振動数!$O$6:$O$22)^2)/((1-($A990/固有振動数!$O$6:$O$22)^2)^2+固有振動数!$P$6:$P$22^2))</f>
        <v>1.5591268080854</v>
      </c>
      <c r="C990" s="20" t="n">
        <f aca="false">-SUMPRODUCT(固有振動数!$Q$6:$Q$22*固有振動数!$P$6:$P$22/((1-($A990/固有振動数!$O$6:$O$22)^2)^2+固有振動数!$P$6:$P$22^2))</f>
        <v>-0.0117091375291753</v>
      </c>
      <c r="D990" s="20" t="n">
        <f aca="false">SQRT(B990^2+C990^2)</f>
        <v>1.55917077563436</v>
      </c>
      <c r="E990" s="32" t="n">
        <f aca="false">20*LOG10(MAX(D990,0.000000000001)/$K$3)</f>
        <v>3.85787371947607</v>
      </c>
    </row>
    <row r="991" customFormat="false" ht="15" hidden="false" customHeight="false" outlineLevel="0" collapsed="false">
      <c r="A991" s="13" t="n">
        <f aca="false">A990+$F$3</f>
        <v>39400</v>
      </c>
      <c r="B991" s="20" t="n">
        <f aca="false">SUMPRODUCT(固有振動数!$Q$6:$Q$22*(1-($A991/固有振動数!$O$6:$O$22)^2)/((1-($A991/固有振動数!$O$6:$O$22)^2)^2+固有振動数!$P$6:$P$22^2))</f>
        <v>1.67490159314534</v>
      </c>
      <c r="C991" s="20" t="n">
        <f aca="false">-SUMPRODUCT(固有振動数!$Q$6:$Q$22*固有振動数!$P$6:$P$22/((1-($A991/固有振動数!$O$6:$O$22)^2)^2+固有振動数!$P$6:$P$22^2))</f>
        <v>-0.0117344370896819</v>
      </c>
      <c r="D991" s="20" t="n">
        <f aca="false">SQRT(B991^2+C991^2)</f>
        <v>1.67494269864214</v>
      </c>
      <c r="E991" s="32" t="n">
        <f aca="false">20*LOG10(MAX(D991,0.000000000001)/$K$3)</f>
        <v>4.47999908012353</v>
      </c>
    </row>
    <row r="992" customFormat="false" ht="15" hidden="false" customHeight="false" outlineLevel="0" collapsed="false">
      <c r="A992" s="13" t="n">
        <f aca="false">A991+$F$3</f>
        <v>39440</v>
      </c>
      <c r="B992" s="20" t="n">
        <f aca="false">SUMPRODUCT(固有振動数!$Q$6:$Q$22*(1-($A992/固有振動数!$O$6:$O$22)^2)/((1-($A992/固有振動数!$O$6:$O$22)^2)^2+固有振動数!$P$6:$P$22^2))</f>
        <v>1.79060158172636</v>
      </c>
      <c r="C992" s="20" t="n">
        <f aca="false">-SUMPRODUCT(固有振動数!$Q$6:$Q$22*固有振動数!$P$6:$P$22/((1-($A992/固有振動数!$O$6:$O$22)^2)^2+固有振動数!$P$6:$P$22^2))</f>
        <v>-0.0117638443210367</v>
      </c>
      <c r="D992" s="20" t="n">
        <f aca="false">SQRT(B992^2+C992^2)</f>
        <v>1.79064022419752</v>
      </c>
      <c r="E992" s="32" t="n">
        <f aca="false">20*LOG10(MAX(D992,0.000000000001)/$K$3)</f>
        <v>5.06016672154296</v>
      </c>
    </row>
    <row r="993" customFormat="false" ht="15" hidden="false" customHeight="false" outlineLevel="0" collapsed="false">
      <c r="A993" s="13" t="n">
        <f aca="false">A992+$F$3</f>
        <v>39480</v>
      </c>
      <c r="B993" s="20" t="n">
        <f aca="false">SUMPRODUCT(固有振動数!$Q$6:$Q$22*(1-($A993/固有振動数!$O$6:$O$22)^2)/((1-($A993/固有振動数!$O$6:$O$22)^2)^2+固有振動数!$P$6:$P$22^2))</f>
        <v>1.90626867647024</v>
      </c>
      <c r="C993" s="20" t="n">
        <f aca="false">-SUMPRODUCT(固有振動数!$Q$6:$Q$22*固有振動数!$P$6:$P$22/((1-($A993/固有振動数!$O$6:$O$22)^2)^2+固有振動数!$P$6:$P$22^2))</f>
        <v>-0.011797360818448</v>
      </c>
      <c r="D993" s="20" t="n">
        <f aca="false">SQRT(B993^2+C993^2)</f>
        <v>1.90630518139512</v>
      </c>
      <c r="E993" s="32" t="n">
        <f aca="false">20*LOG10(MAX(D993,0.000000000001)/$K$3)</f>
        <v>5.60384856598557</v>
      </c>
    </row>
    <row r="994" customFormat="false" ht="15" hidden="false" customHeight="false" outlineLevel="0" collapsed="false">
      <c r="A994" s="13" t="n">
        <f aca="false">A993+$F$3</f>
        <v>39520</v>
      </c>
      <c r="B994" s="20" t="n">
        <f aca="false">SUMPRODUCT(固有振動数!$Q$6:$Q$22*(1-($A994/固有振動数!$O$6:$O$22)^2)/((1-($A994/固有振動数!$O$6:$O$22)^2)^2+固有振動数!$P$6:$P$22^2))</f>
        <v>2.02194461333084</v>
      </c>
      <c r="C994" s="20" t="n">
        <f aca="false">-SUMPRODUCT(固有振動数!$Q$6:$Q$22*固有振動数!$P$6:$P$22/((1-($A994/固有振動数!$O$6:$O$22)^2)^2+固有振動数!$P$6:$P$22^2))</f>
        <v>-0.0118349939297543</v>
      </c>
      <c r="D994" s="20" t="n">
        <f aca="false">SQRT(B994^2+C994^2)</f>
        <v>2.02197924975973</v>
      </c>
      <c r="E994" s="32" t="n">
        <f aca="false">20*LOG10(MAX(D994,0.000000000001)/$K$3)</f>
        <v>6.11553388799688</v>
      </c>
    </row>
    <row r="995" customFormat="false" ht="15" hidden="false" customHeight="false" outlineLevel="0" collapsed="false">
      <c r="A995" s="13" t="n">
        <f aca="false">A994+$F$3</f>
        <v>39560</v>
      </c>
      <c r="B995" s="20" t="n">
        <f aca="false">SUMPRODUCT(固有振動数!$Q$6:$Q$22*(1-($A995/固有振動数!$O$6:$O$22)^2)/((1-($A995/固有振動数!$O$6:$O$22)^2)^2+固有振動数!$P$6:$P$22^2))</f>
        <v>2.13767102061066</v>
      </c>
      <c r="C995" s="20" t="n">
        <f aca="false">-SUMPRODUCT(固有振動数!$Q$6:$Q$22*固有振動数!$P$6:$P$22/((1-($A995/固有振動数!$O$6:$O$22)^2)^2+固有振動数!$P$6:$P$22^2))</f>
        <v>-0.011876756736593</v>
      </c>
      <c r="D995" s="20" t="n">
        <f aca="false">SQRT(B995^2+C995^2)</f>
        <v>2.13770401358776</v>
      </c>
      <c r="E995" s="32" t="n">
        <f aca="false">20*LOG10(MAX(D995,0.000000000001)/$K$3)</f>
        <v>6.59895145277482</v>
      </c>
    </row>
    <row r="996" customFormat="false" ht="15" hidden="false" customHeight="false" outlineLevel="0" collapsed="false">
      <c r="A996" s="13" t="n">
        <f aca="false">A995+$F$3</f>
        <v>39600</v>
      </c>
      <c r="B996" s="20" t="n">
        <f aca="false">SUMPRODUCT(固有振動数!$Q$6:$Q$22*(1-($A996/固有振動数!$O$6:$O$22)^2)/((1-($A996/固有振動数!$O$6:$O$22)^2)^2+固有振動数!$P$6:$P$22^2))</f>
        <v>2.25348947748037</v>
      </c>
      <c r="C996" s="20" t="n">
        <f aca="false">-SUMPRODUCT(固有振動数!$Q$6:$Q$22*固有振動数!$P$6:$P$22/((1-($A996/固有振動数!$O$6:$O$22)^2)^2+固有振動数!$P$6:$P$22^2))</f>
        <v>-0.0119226680534439</v>
      </c>
      <c r="D996" s="20" t="n">
        <f aca="false">SQRT(B996^2+C996^2)</f>
        <v>2.25352101723687</v>
      </c>
      <c r="E996" s="32" t="n">
        <f aca="false">20*LOG10(MAX(D996,0.000000000001)/$K$3)</f>
        <v>7.05723225659283</v>
      </c>
    </row>
    <row r="997" customFormat="false" ht="15" hidden="false" customHeight="false" outlineLevel="0" collapsed="false">
      <c r="A997" s="13" t="n">
        <f aca="false">A996+$F$3</f>
        <v>39640</v>
      </c>
      <c r="B997" s="20" t="n">
        <f aca="false">SUMPRODUCT(固有振動数!$Q$6:$Q$22*(1-($A997/固有振動数!$O$6:$O$22)^2)/((1-($A997/固有振動数!$O$6:$O$22)^2)^2+固有振動数!$P$6:$P$22^2))</f>
        <v>2.36944157216535</v>
      </c>
      <c r="C997" s="20" t="n">
        <f aca="false">-SUMPRODUCT(固有振動数!$Q$6:$Q$22*固有振動数!$P$6:$P$22/((1-($A997/固有振動数!$O$6:$O$22)^2)^2+固有振動数!$P$6:$P$22^2))</f>
        <v>-0.0119727524444317</v>
      </c>
      <c r="D997" s="20" t="n">
        <f aca="false">SQRT(B997^2+C997^2)</f>
        <v>2.36947182104082</v>
      </c>
      <c r="E997" s="32" t="n">
        <f aca="false">20*LOG10(MAX(D997,0.000000000001)/$K$3)</f>
        <v>7.49303096432312</v>
      </c>
    </row>
    <row r="998" customFormat="false" ht="15" hidden="false" customHeight="false" outlineLevel="0" collapsed="false">
      <c r="A998" s="13" t="n">
        <f aca="false">A997+$F$3</f>
        <v>39680</v>
      </c>
      <c r="B998" s="20" t="n">
        <f aca="false">SUMPRODUCT(固有振動数!$Q$6:$Q$22*(1-($A998/固有振動数!$O$6:$O$22)^2)/((1-($A998/固有振動数!$O$6:$O$22)^2)^2+固有振動数!$P$6:$P$22^2))</f>
        <v>2.48556895998026</v>
      </c>
      <c r="C998" s="20" t="n">
        <f aca="false">-SUMPRODUCT(固有振動数!$Q$6:$Q$22*固有振動数!$P$6:$P$22/((1-($A998/固有振動数!$O$6:$O$22)^2)^2+固有振動数!$P$6:$P$22^2))</f>
        <v>-0.0120270402578704</v>
      </c>
      <c r="D998" s="20" t="n">
        <f aca="false">SQRT(B998^2+C998^2)</f>
        <v>2.48559805771463</v>
      </c>
      <c r="E998" s="32" t="n">
        <f aca="false">20*LOG10(MAX(D998,0.000000000001)/$K$3)</f>
        <v>7.90861801765039</v>
      </c>
    </row>
    <row r="999" customFormat="false" ht="15" hidden="false" customHeight="false" outlineLevel="0" collapsed="false">
      <c r="A999" s="13" t="n">
        <f aca="false">A998+$F$3</f>
        <v>39720</v>
      </c>
      <c r="B999" s="20" t="n">
        <f aca="false">SUMPRODUCT(固有振動数!$Q$6:$Q$22*(1-($A999/固有振動数!$O$6:$O$22)^2)/((1-($A999/固有振動数!$O$6:$O$22)^2)^2+固有振動数!$P$6:$P$22^2))</f>
        <v>2.60191342139223</v>
      </c>
      <c r="C999" s="20" t="n">
        <f aca="false">-SUMPRODUCT(固有振動数!$Q$6:$Q$22*固有振動数!$P$6:$P$22/((1-($A999/固有振動数!$O$6:$O$22)^2)^2+固有振動数!$P$6:$P$22^2))</f>
        <v>-0.0120855676786282</v>
      </c>
      <c r="D999" s="20" t="n">
        <f aca="false">SQRT(B999^2+C999^2)</f>
        <v>2.60194148922821</v>
      </c>
      <c r="E999" s="32" t="n">
        <f aca="false">20*LOG10(MAX(D999,0.000000000001)/$K$3)</f>
        <v>8.30595052405763</v>
      </c>
    </row>
    <row r="1000" customFormat="false" ht="15" hidden="false" customHeight="false" outlineLevel="0" collapsed="false">
      <c r="A1000" s="13" t="n">
        <f aca="false">A999+$F$3</f>
        <v>39760</v>
      </c>
      <c r="B1000" s="20" t="n">
        <f aca="false">SUMPRODUCT(固有振動数!$Q$6:$Q$22*(1-($A1000/固有振動数!$O$6:$O$22)^2)/((1-($A1000/固有振動数!$O$6:$O$22)^2)^2+固有振動数!$P$6:$P$22^2))</f>
        <v>2.71851692029201</v>
      </c>
      <c r="C1000" s="20" t="n">
        <f aca="false">-SUMPRODUCT(固有振動数!$Q$6:$Q$22*固有振動数!$P$6:$P$22/((1-($A1000/固有振動数!$O$6:$O$22)^2)^2+固有振動数!$P$6:$P$22^2))</f>
        <v>-0.0121483767984895</v>
      </c>
      <c r="D1000" s="20" t="n">
        <f aca="false">SQRT(B1000^2+C1000^2)</f>
        <v>2.71854406419554</v>
      </c>
      <c r="E1000" s="32" t="n">
        <f aca="false">20*LOG10(MAX(D1000,0.000000000001)/$K$3)</f>
        <v>8.6867275352915</v>
      </c>
    </row>
    <row r="1001" customFormat="false" ht="15" hidden="false" customHeight="false" outlineLevel="0" collapsed="false">
      <c r="A1001" s="13" t="n">
        <f aca="false">A1000+$F$3</f>
        <v>39800</v>
      </c>
      <c r="B1001" s="20" t="n">
        <f aca="false">SUMPRODUCT(固有振動数!$Q$6:$Q$22*(1-($A1001/固有振動数!$O$6:$O$22)^2)/((1-($A1001/固有振動数!$O$6:$O$22)^2)^2+固有振動数!$P$6:$P$22^2))</f>
        <v>2.83542166265376</v>
      </c>
      <c r="C1001" s="20" t="n">
        <f aca="false">-SUMPRODUCT(固有振動数!$Q$6:$Q$22*固有振動数!$P$6:$P$22/((1-($A1001/固有振動数!$O$6:$O$22)^2)^2+固有振動数!$P$6:$P$22^2))</f>
        <v>-0.0122155157047858</v>
      </c>
      <c r="D1001" s="20" t="n">
        <f aca="false">SQRT(B1001^2+C1001^2)</f>
        <v>2.83544797587086</v>
      </c>
      <c r="E1001" s="32" t="n">
        <f aca="false">20*LOG10(MAX(D1001,0.000000000001)/$K$3)</f>
        <v>9.05243366725266</v>
      </c>
    </row>
    <row r="1002" customFormat="false" ht="15" hidden="false" customHeight="false" outlineLevel="0" collapsed="false">
      <c r="A1002" s="13" t="n">
        <f aca="false">A1001+$F$3</f>
        <v>39840</v>
      </c>
      <c r="B1002" s="20" t="n">
        <f aca="false">SUMPRODUCT(固有振動数!$Q$6:$Q$22*(1-($A1002/固有振動数!$O$6:$O$22)^2)/((1-($A1002/固有振動数!$O$6:$O$22)^2)^2+固有振動数!$P$6:$P$22^2))</f>
        <v>2.95267015576537</v>
      </c>
      <c r="C1002" s="20" t="n">
        <f aca="false">-SUMPRODUCT(固有振動数!$Q$6:$Q$22*固有振動数!$P$6:$P$22/((1-($A1002/固有振動数!$O$6:$O$22)^2)^2+固有振動数!$P$6:$P$22^2))</f>
        <v>-0.0122870385876686</v>
      </c>
      <c r="D1002" s="20" t="n">
        <f aca="false">SQRT(B1002^2+C1002^2)</f>
        <v>2.95269572087352</v>
      </c>
      <c r="E1002" s="32" t="n">
        <f aca="false">20*LOG10(MAX(D1002,0.000000000001)/$K$3)</f>
        <v>9.40437389321756</v>
      </c>
    </row>
    <row r="1003" customFormat="false" ht="15" hidden="false" customHeight="false" outlineLevel="0" collapsed="false">
      <c r="A1003" s="13" t="n">
        <f aca="false">A1002+$F$3</f>
        <v>39880</v>
      </c>
      <c r="B1003" s="20" t="n">
        <f aca="false">SUMPRODUCT(固有振動数!$Q$6:$Q$22*(1-($A1003/固有振動数!$O$6:$O$22)^2)/((1-($A1003/固有振動数!$O$6:$O$22)^2)^2+固有振動数!$P$6:$P$22^2))</f>
        <v>3.07030526821393</v>
      </c>
      <c r="C1003" s="20" t="n">
        <f aca="false">-SUMPRODUCT(固有振動数!$Q$6:$Q$22*固有振動数!$P$6:$P$22/((1-($A1003/固有振動数!$O$6:$O$22)^2)^2+固有振動数!$P$6:$P$22^2))</f>
        <v>-0.0123630058664994</v>
      </c>
      <c r="D1003" s="20" t="n">
        <f aca="false">SQRT(B1003^2+C1003^2)</f>
        <v>3.07033015878362</v>
      </c>
      <c r="E1003" s="32" t="n">
        <f aca="false">20*LOG10(MAX(D1003,0.000000000001)/$K$3)</f>
        <v>9.7437015709659</v>
      </c>
    </row>
    <row r="1004" customFormat="false" ht="15" hidden="false" customHeight="false" outlineLevel="0" collapsed="false">
      <c r="A1004" s="13" t="n">
        <f aca="false">A1003+$F$3</f>
        <v>39920</v>
      </c>
      <c r="B1004" s="20" t="n">
        <f aca="false">SUMPRODUCT(固有振動数!$Q$6:$Q$22*(1-($A1004/固有振動数!$O$6:$O$22)^2)/((1-($A1004/固有振動数!$O$6:$O$22)^2)^2+固有振動数!$P$6:$P$22^2))</f>
        <v>3.18837029081444</v>
      </c>
      <c r="C1004" s="20" t="n">
        <f aca="false">-SUMPRODUCT(固有振動数!$Q$6:$Q$22*固有振動数!$P$6:$P$22/((1-($A1004/固有振動数!$O$6:$O$22)^2)^2+固有振動数!$P$6:$P$22^2))</f>
        <v>-0.0124434843359357</v>
      </c>
      <c r="D1004" s="20" t="n">
        <f aca="false">SQRT(B1004^2+C1004^2)</f>
        <v>3.18839457276708</v>
      </c>
      <c r="E1004" s="32" t="n">
        <f aca="false">20*LOG10(MAX(D1004,0.000000000001)/$K$3)</f>
        <v>10.0714412241918</v>
      </c>
    </row>
    <row r="1005" customFormat="false" ht="15" hidden="false" customHeight="false" outlineLevel="0" collapsed="false">
      <c r="A1005" s="13" t="n">
        <f aca="false">A1004+$F$3</f>
        <v>39960</v>
      </c>
      <c r="B1005" s="20" t="n">
        <f aca="false">SUMPRODUCT(固有振動数!$Q$6:$Q$22*(1-($A1005/固有振動数!$O$6:$O$22)^2)/((1-($A1005/固有振動数!$O$6:$O$22)^2)^2+固有振動数!$P$6:$P$22^2))</f>
        <v>3.30690899867493</v>
      </c>
      <c r="C1005" s="20" t="n">
        <f aca="false">-SUMPRODUCT(固有振動数!$Q$6:$Q$22*固有振動数!$P$6:$P$22/((1-($A1005/固有振動数!$O$6:$O$22)^2)^2+固有振動数!$P$6:$P$22^2))</f>
        <v>-0.0125285473324033</v>
      </c>
      <c r="D1005" s="20" t="n">
        <f aca="false">SQRT(B1005^2+C1005^2)</f>
        <v>3.30693273140164</v>
      </c>
      <c r="E1005" s="32" t="n">
        <f aca="false">20*LOG10(MAX(D1005,0.000000000001)/$K$3)</f>
        <v>10.3885072144022</v>
      </c>
    </row>
    <row r="1006" customFormat="false" ht="15" hidden="false" customHeight="false" outlineLevel="0" collapsed="false">
      <c r="A1006" s="13" t="n">
        <f aca="false">A1005+$F$3</f>
        <v>40000</v>
      </c>
      <c r="B1006" s="20" t="n">
        <f aca="false">SUMPRODUCT(固有振動数!$Q$6:$Q$22*(1-($A1006/固有振動数!$O$6:$O$22)^2)/((1-($A1006/固有振動数!$O$6:$O$22)^2)^2+固有振動数!$P$6:$P$22^2))</f>
        <v>3.42596571459621</v>
      </c>
      <c r="C1006" s="20" t="n">
        <f aca="false">-SUMPRODUCT(固有振動数!$Q$6:$Q$22*固有振動数!$P$6:$P$22/((1-($A1006/固有振動数!$O$6:$O$22)^2)^2+固有振動数!$P$6:$P$22^2))</f>
        <v>-0.0126182749217592</v>
      </c>
      <c r="D1006" s="20" t="n">
        <f aca="false">SQRT(B1006^2+C1006^2)</f>
        <v>3.42598895188685</v>
      </c>
      <c r="E1006" s="32" t="n">
        <f aca="false">20*LOG10(MAX(D1006,0.000000000001)/$K$3)</f>
        <v>10.6957191624187</v>
      </c>
    </row>
    <row r="1008" customFormat="false" ht="15" hidden="false" customHeight="false" outlineLevel="0" collapsed="false">
      <c r="A1008" s="28" t="s">
        <v>314</v>
      </c>
      <c r="B1008" s="28"/>
      <c r="C1008" s="28"/>
      <c r="D1008" s="28"/>
      <c r="E1008" s="28"/>
      <c r="F1008" s="28"/>
      <c r="G1008" s="28"/>
    </row>
    <row r="1009" customFormat="false" ht="15" hidden="false" customHeight="false" outlineLevel="0" collapsed="false">
      <c r="A1009" s="29" t="s">
        <v>315</v>
      </c>
      <c r="B1009" s="29"/>
      <c r="C1009" s="29"/>
      <c r="D1009" s="29"/>
      <c r="E1009" s="29"/>
      <c r="F1009" s="29"/>
      <c r="G1009" s="29"/>
    </row>
    <row r="1010" customFormat="false" ht="15" hidden="false" customHeight="false" outlineLevel="0" collapsed="false">
      <c r="A1010" s="29" t="s">
        <v>316</v>
      </c>
      <c r="B1010" s="29"/>
      <c r="C1010" s="29"/>
      <c r="D1010" s="29"/>
      <c r="E1010" s="29"/>
      <c r="F1010" s="29"/>
      <c r="G1010" s="29"/>
    </row>
    <row r="1011" customFormat="false" ht="15" hidden="false" customHeight="false" outlineLevel="0" collapsed="false">
      <c r="A1011" s="29" t="s">
        <v>317</v>
      </c>
      <c r="B1011" s="29"/>
      <c r="C1011" s="29"/>
      <c r="D1011" s="29"/>
      <c r="E1011" s="29"/>
      <c r="F1011" s="29"/>
      <c r="G1011" s="29"/>
    </row>
    <row r="1012" customFormat="false" ht="15" hidden="false" customHeight="false" outlineLevel="0" collapsed="false">
      <c r="A1012" s="29" t="s">
        <v>318</v>
      </c>
      <c r="B1012" s="29"/>
      <c r="C1012" s="29"/>
      <c r="D1012" s="29"/>
      <c r="E1012" s="29"/>
      <c r="F1012" s="29"/>
      <c r="G1012" s="29"/>
    </row>
    <row r="1013" customFormat="false" ht="15" hidden="false" customHeight="false" outlineLevel="0" collapsed="false">
      <c r="A1013" s="29" t="s">
        <v>319</v>
      </c>
      <c r="B1013" s="29"/>
      <c r="C1013" s="29"/>
      <c r="D1013" s="29"/>
      <c r="E1013" s="29"/>
      <c r="F1013" s="29"/>
      <c r="G1013" s="29"/>
    </row>
  </sheetData>
  <mergeCells count="9">
    <mergeCell ref="A1:G1"/>
    <mergeCell ref="A2:G2"/>
    <mergeCell ref="L3:R3"/>
    <mergeCell ref="A1008:G1008"/>
    <mergeCell ref="A1009:G1009"/>
    <mergeCell ref="A1010:G1010"/>
    <mergeCell ref="A1011:G1011"/>
    <mergeCell ref="A1012:G1012"/>
    <mergeCell ref="A1013:G10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40"/>
  </cols>
  <sheetData>
    <row r="1" customFormat="false" ht="23.85" hidden="false" customHeight="false" outlineLevel="0" collapsed="false">
      <c r="A1" s="1" t="s">
        <v>320</v>
      </c>
      <c r="B1" s="1"/>
      <c r="C1" s="1"/>
      <c r="D1" s="1"/>
      <c r="E1" s="1"/>
      <c r="F1" s="1"/>
      <c r="G1" s="1"/>
      <c r="H1" s="1"/>
    </row>
    <row r="2" customFormat="false" ht="14.15" hidden="false" customHeight="false" outlineLevel="0" collapsed="false">
      <c r="A2" s="2" t="s">
        <v>321</v>
      </c>
      <c r="B2" s="2"/>
      <c r="C2" s="2"/>
      <c r="D2" s="2"/>
      <c r="E2" s="2"/>
      <c r="F2" s="2"/>
      <c r="G2" s="2"/>
      <c r="H2" s="2"/>
    </row>
    <row r="4" customFormat="false" ht="44" hidden="false" customHeight="false" outlineLevel="0" collapsed="false">
      <c r="A4" s="10" t="s">
        <v>254</v>
      </c>
      <c r="B4" s="10" t="s">
        <v>255</v>
      </c>
      <c r="C4" s="10" t="s">
        <v>256</v>
      </c>
      <c r="D4" s="10" t="s">
        <v>322</v>
      </c>
      <c r="E4" s="10" t="s">
        <v>323</v>
      </c>
      <c r="F4" s="10" t="s">
        <v>324</v>
      </c>
      <c r="G4" s="10" t="s">
        <v>325</v>
      </c>
      <c r="H4" s="10" t="s">
        <v>326</v>
      </c>
    </row>
    <row r="5" customFormat="false" ht="15" hidden="false" customHeight="false" outlineLevel="0" collapsed="false">
      <c r="A5" s="12" t="n">
        <v>1</v>
      </c>
      <c r="B5" s="6" t="s">
        <v>269</v>
      </c>
      <c r="C5" s="12" t="n">
        <v>1</v>
      </c>
      <c r="D5" s="27" t="n">
        <f aca="false">固有振動数!$I$6</f>
        <v>1954.13476023834</v>
      </c>
      <c r="E5" s="33"/>
      <c r="F5" s="25" t="str">
        <f aca="false">IF(E5="","",(E5-D5)/D5*100)</f>
        <v/>
      </c>
      <c r="G5" s="24" t="str">
        <f aca="false">IF(E5="","",IF(ABS(F5)&lt;=5,"🟢 良く一致",IF(ABS(F5)&lt;=15,"🟡 まずまず","🔴 要確認(モード誤同定/寸法/E値を疑う)")))</f>
        <v/>
      </c>
      <c r="H5" s="8"/>
    </row>
    <row r="6" customFormat="false" ht="15" hidden="false" customHeight="false" outlineLevel="0" collapsed="false">
      <c r="A6" s="12" t="n">
        <v>2</v>
      </c>
      <c r="B6" s="6" t="s">
        <v>269</v>
      </c>
      <c r="C6" s="12" t="n">
        <v>2</v>
      </c>
      <c r="D6" s="27" t="n">
        <f aca="false">固有振動数!$I$7</f>
        <v>5320.7625356705</v>
      </c>
      <c r="E6" s="33"/>
      <c r="F6" s="25" t="str">
        <f aca="false">IF(E6="","",(E6-D6)/D6*100)</f>
        <v/>
      </c>
      <c r="G6" s="24" t="str">
        <f aca="false">IF(E6="","",IF(ABS(F6)&lt;=5,"🟢 良く一致",IF(ABS(F6)&lt;=15,"🟡 まずまず","🔴 要確認(モード誤同定/寸法/E値を疑う)")))</f>
        <v/>
      </c>
      <c r="H6" s="8"/>
    </row>
    <row r="7" customFormat="false" ht="15" hidden="false" customHeight="false" outlineLevel="0" collapsed="false">
      <c r="A7" s="12" t="n">
        <v>3</v>
      </c>
      <c r="B7" s="6" t="s">
        <v>269</v>
      </c>
      <c r="C7" s="12" t="n">
        <v>3</v>
      </c>
      <c r="D7" s="27" t="n">
        <f aca="false">固有振動数!$I$8</f>
        <v>10244.8088670932</v>
      </c>
      <c r="E7" s="33"/>
      <c r="F7" s="25" t="str">
        <f aca="false">IF(E7="","",(E7-D7)/D7*100)</f>
        <v/>
      </c>
      <c r="G7" s="24" t="str">
        <f aca="false">IF(E7="","",IF(ABS(F7)&lt;=5,"🟢 良く一致",IF(ABS(F7)&lt;=15,"🟡 まずまず","🔴 要確認(モード誤同定/寸法/E値を疑う)")))</f>
        <v/>
      </c>
      <c r="H7" s="8"/>
    </row>
    <row r="8" customFormat="false" ht="15" hidden="false" customHeight="false" outlineLevel="0" collapsed="false">
      <c r="A8" s="12" t="n">
        <v>4</v>
      </c>
      <c r="B8" s="6" t="s">
        <v>269</v>
      </c>
      <c r="C8" s="12" t="n">
        <v>4</v>
      </c>
      <c r="D8" s="27" t="n">
        <f aca="false">固有振動数!$I$9</f>
        <v>16549.765201238</v>
      </c>
      <c r="E8" s="33"/>
      <c r="F8" s="25" t="str">
        <f aca="false">IF(E8="","",(E8-D8)/D8*100)</f>
        <v/>
      </c>
      <c r="G8" s="24" t="str">
        <f aca="false">IF(E8="","",IF(ABS(F8)&lt;=5,"🟢 良く一致",IF(ABS(F8)&lt;=15,"🟡 まずまず","🔴 要確認(モード誤同定/寸法/E値を疑う)")))</f>
        <v/>
      </c>
      <c r="H8" s="8"/>
    </row>
    <row r="9" customFormat="false" ht="15" hidden="false" customHeight="false" outlineLevel="0" collapsed="false">
      <c r="A9" s="12" t="n">
        <v>5</v>
      </c>
      <c r="B9" s="6" t="s">
        <v>269</v>
      </c>
      <c r="C9" s="12" t="n">
        <v>5</v>
      </c>
      <c r="D9" s="27" t="n">
        <f aca="false">固有振動数!$I$10</f>
        <v>24055.2011839414</v>
      </c>
      <c r="E9" s="33"/>
      <c r="F9" s="25" t="str">
        <f aca="false">IF(E9="","",(E9-D9)/D9*100)</f>
        <v/>
      </c>
      <c r="G9" s="24" t="str">
        <f aca="false">IF(E9="","",IF(ABS(F9)&lt;=5,"🟢 良く一致",IF(ABS(F9)&lt;=15,"🟡 まずまず","🔴 要確認(モード誤同定/寸法/E値を疑う)")))</f>
        <v/>
      </c>
      <c r="H9" s="8"/>
    </row>
    <row r="10" customFormat="false" ht="15" hidden="false" customHeight="false" outlineLevel="0" collapsed="false">
      <c r="A10" s="12" t="n">
        <v>6</v>
      </c>
      <c r="B10" s="6" t="s">
        <v>269</v>
      </c>
      <c r="C10" s="12" t="n">
        <v>6</v>
      </c>
      <c r="D10" s="27" t="n">
        <f aca="false">固有振動数!$I$11</f>
        <v>32573.0814843349</v>
      </c>
      <c r="E10" s="33"/>
      <c r="F10" s="25" t="str">
        <f aca="false">IF(E10="","",(E10-D10)/D10*100)</f>
        <v/>
      </c>
      <c r="G10" s="24" t="str">
        <f aca="false">IF(E10="","",IF(ABS(F10)&lt;=5,"🟢 良く一致",IF(ABS(F10)&lt;=15,"🟡 まずまず","🔴 要確認(モード誤同定/寸法/E値を疑う)")))</f>
        <v/>
      </c>
      <c r="H10" s="8"/>
    </row>
    <row r="11" customFormat="false" ht="15" hidden="false" customHeight="false" outlineLevel="0" collapsed="false">
      <c r="A11" s="12" t="n">
        <v>7</v>
      </c>
      <c r="B11" s="6" t="s">
        <v>271</v>
      </c>
      <c r="C11" s="12" t="n">
        <v>1</v>
      </c>
      <c r="D11" s="27" t="n">
        <f aca="false">固有振動数!$I$12</f>
        <v>3099.01197257708</v>
      </c>
      <c r="E11" s="33"/>
      <c r="F11" s="25" t="str">
        <f aca="false">IF(E11="","",(E11-D11)/D11*100)</f>
        <v/>
      </c>
      <c r="G11" s="24" t="str">
        <f aca="false">IF(E11="","",IF(ABS(F11)&lt;=5,"🟢 良く一致",IF(ABS(F11)&lt;=15,"🟡 まずまず","🔴 要確認(モード誤同定/寸法/E値を疑う)")))</f>
        <v/>
      </c>
      <c r="H11" s="8"/>
    </row>
    <row r="12" customFormat="false" ht="15" hidden="false" customHeight="false" outlineLevel="0" collapsed="false">
      <c r="A12" s="12" t="n">
        <v>8</v>
      </c>
      <c r="B12" s="6" t="s">
        <v>271</v>
      </c>
      <c r="C12" s="12" t="n">
        <v>2</v>
      </c>
      <c r="D12" s="27" t="n">
        <f aca="false">固有振動数!$I$13</f>
        <v>6198.02394515416</v>
      </c>
      <c r="E12" s="33"/>
      <c r="F12" s="25" t="str">
        <f aca="false">IF(E12="","",(E12-D12)/D12*100)</f>
        <v/>
      </c>
      <c r="G12" s="24" t="str">
        <f aca="false">IF(E12="","",IF(ABS(F12)&lt;=5,"🟢 良く一致",IF(ABS(F12)&lt;=15,"🟡 まずまず","🔴 要確認(モード誤同定/寸法/E値を疑う)")))</f>
        <v/>
      </c>
      <c r="H12" s="8"/>
    </row>
    <row r="13" customFormat="false" ht="15" hidden="false" customHeight="false" outlineLevel="0" collapsed="false">
      <c r="A13" s="12" t="n">
        <v>9</v>
      </c>
      <c r="B13" s="6" t="s">
        <v>271</v>
      </c>
      <c r="C13" s="12" t="n">
        <v>3</v>
      </c>
      <c r="D13" s="27" t="n">
        <f aca="false">固有振動数!$I$14</f>
        <v>9297.03591773123</v>
      </c>
      <c r="E13" s="33"/>
      <c r="F13" s="25" t="str">
        <f aca="false">IF(E13="","",(E13-D13)/D13*100)</f>
        <v/>
      </c>
      <c r="G13" s="24" t="str">
        <f aca="false">IF(E13="","",IF(ABS(F13)&lt;=5,"🟢 良く一致",IF(ABS(F13)&lt;=15,"🟡 まずまず","🔴 要確認(モード誤同定/寸法/E値を疑う)")))</f>
        <v/>
      </c>
      <c r="H13" s="8"/>
    </row>
    <row r="14" customFormat="false" ht="15" hidden="false" customHeight="false" outlineLevel="0" collapsed="false">
      <c r="A14" s="12" t="n">
        <v>10</v>
      </c>
      <c r="B14" s="6" t="s">
        <v>271</v>
      </c>
      <c r="C14" s="12" t="n">
        <v>4</v>
      </c>
      <c r="D14" s="27" t="n">
        <f aca="false">固有振動数!$I$15</f>
        <v>12396.0478903083</v>
      </c>
      <c r="E14" s="33"/>
      <c r="F14" s="25" t="str">
        <f aca="false">IF(E14="","",(E14-D14)/D14*100)</f>
        <v/>
      </c>
      <c r="G14" s="24" t="str">
        <f aca="false">IF(E14="","",IF(ABS(F14)&lt;=5,"🟢 良く一致",IF(ABS(F14)&lt;=15,"🟡 まずまず","🔴 要確認(モード誤同定/寸法/E値を疑う)")))</f>
        <v/>
      </c>
      <c r="H14" s="8"/>
    </row>
    <row r="15" customFormat="false" ht="15" hidden="false" customHeight="false" outlineLevel="0" collapsed="false">
      <c r="A15" s="12" t="n">
        <v>11</v>
      </c>
      <c r="B15" s="6" t="s">
        <v>273</v>
      </c>
      <c r="C15" s="12" t="n">
        <v>1</v>
      </c>
      <c r="D15" s="27" t="n">
        <f aca="false">固有振動数!$I$16</f>
        <v>11684.9603150303</v>
      </c>
      <c r="E15" s="33"/>
      <c r="F15" s="25" t="str">
        <f aca="false">IF(E15="","",(E15-D15)/D15*100)</f>
        <v/>
      </c>
      <c r="G15" s="24" t="str">
        <f aca="false">IF(E15="","",IF(ABS(F15)&lt;=5,"🟢 良く一致",IF(ABS(F15)&lt;=15,"🟡 まずまず","🔴 要確認(モード誤同定/寸法/E値を疑う)")))</f>
        <v/>
      </c>
      <c r="H15" s="8"/>
    </row>
    <row r="16" customFormat="false" ht="15" hidden="false" customHeight="false" outlineLevel="0" collapsed="false">
      <c r="A16" s="12" t="n">
        <v>12</v>
      </c>
      <c r="B16" s="6" t="s">
        <v>273</v>
      </c>
      <c r="C16" s="12" t="n">
        <v>2</v>
      </c>
      <c r="D16" s="27" t="n">
        <f aca="false">固有振動数!$I$17</f>
        <v>23423.2676312486</v>
      </c>
      <c r="E16" s="33"/>
      <c r="F16" s="25" t="str">
        <f aca="false">IF(E16="","",(E16-D16)/D16*100)</f>
        <v/>
      </c>
      <c r="G16" s="24" t="str">
        <f aca="false">IF(E16="","",IF(ABS(F16)&lt;=5,"🟢 良く一致",IF(ABS(F16)&lt;=15,"🟡 まずまず","🔴 要確認(モード誤同定/寸法/E値を疑う)")))</f>
        <v/>
      </c>
      <c r="H16" s="8"/>
    </row>
    <row r="17" customFormat="false" ht="15" hidden="false" customHeight="false" outlineLevel="0" collapsed="false">
      <c r="A17" s="12" t="n">
        <v>13</v>
      </c>
      <c r="B17" s="6" t="s">
        <v>273</v>
      </c>
      <c r="C17" s="12" t="n">
        <v>3</v>
      </c>
      <c r="D17" s="27" t="n">
        <f aca="false">固有振動数!$I$18</f>
        <v>35113.7373561374</v>
      </c>
      <c r="E17" s="33"/>
      <c r="F17" s="25" t="str">
        <f aca="false">IF(E17="","",(E17-D17)/D17*100)</f>
        <v/>
      </c>
      <c r="G17" s="24" t="str">
        <f aca="false">IF(E17="","",IF(ABS(F17)&lt;=5,"🟢 良く一致",IF(ABS(F17)&lt;=15,"🟡 まずまず","🔴 要確認(モード誤同定/寸法/E値を疑う)")))</f>
        <v/>
      </c>
      <c r="H17" s="8"/>
    </row>
    <row r="18" customFormat="false" ht="15" hidden="false" customHeight="false" outlineLevel="0" collapsed="false">
      <c r="A18" s="12" t="n">
        <v>14</v>
      </c>
      <c r="B18" s="6" t="s">
        <v>273</v>
      </c>
      <c r="C18" s="12" t="n">
        <v>4</v>
      </c>
      <c r="D18" s="27" t="n">
        <f aca="false">固有振動数!$I$19</f>
        <v>46569.5339110916</v>
      </c>
      <c r="E18" s="33"/>
      <c r="F18" s="25" t="str">
        <f aca="false">IF(E18="","",(E18-D18)/D18*100)</f>
        <v/>
      </c>
      <c r="G18" s="24" t="str">
        <f aca="false">IF(E18="","",IF(ABS(F18)&lt;=5,"🟢 良く一致",IF(ABS(F18)&lt;=15,"🟡 まずまず","🔴 要確認(モード誤同定/寸法/E値を疑う)")))</f>
        <v/>
      </c>
      <c r="H18" s="8"/>
    </row>
    <row r="19" customFormat="false" ht="15" hidden="false" customHeight="false" outlineLevel="0" collapsed="false">
      <c r="A19" s="12" t="n">
        <v>15</v>
      </c>
      <c r="B19" s="6" t="s">
        <v>275</v>
      </c>
      <c r="C19" s="12" t="n">
        <v>1</v>
      </c>
      <c r="D19" s="27" t="n">
        <f aca="false">固有振動数!$I$20</f>
        <v>22118.4620564054</v>
      </c>
      <c r="E19" s="33"/>
      <c r="F19" s="25" t="str">
        <f aca="false">IF(E19="","",(E19-D19)/D19*100)</f>
        <v/>
      </c>
      <c r="G19" s="24" t="str">
        <f aca="false">IF(E19="","",IF(ABS(F19)&lt;=5,"🟢 良く一致",IF(ABS(F19)&lt;=15,"🟡 まずまず","🔴 要確認(モード誤同定/寸法/E値を疑う)")))</f>
        <v/>
      </c>
      <c r="H19" s="8"/>
    </row>
    <row r="20" customFormat="false" ht="15" hidden="false" customHeight="false" outlineLevel="0" collapsed="false">
      <c r="A20" s="12" t="n">
        <v>16</v>
      </c>
      <c r="B20" s="6" t="s">
        <v>275</v>
      </c>
      <c r="C20" s="12" t="n">
        <v>2</v>
      </c>
      <c r="D20" s="27" t="n">
        <f aca="false">固有振動数!$I$21</f>
        <v>44236.9241128108</v>
      </c>
      <c r="E20" s="33"/>
      <c r="F20" s="25" t="str">
        <f aca="false">IF(E20="","",(E20-D20)/D20*100)</f>
        <v/>
      </c>
      <c r="G20" s="24" t="str">
        <f aca="false">IF(E20="","",IF(ABS(F20)&lt;=5,"🟢 良く一致",IF(ABS(F20)&lt;=15,"🟡 まずまず","🔴 要確認(モード誤同定/寸法/E値を疑う)")))</f>
        <v/>
      </c>
      <c r="H20" s="8"/>
    </row>
    <row r="21" customFormat="false" ht="15" hidden="false" customHeight="false" outlineLevel="0" collapsed="false">
      <c r="A21" s="12" t="n">
        <v>17</v>
      </c>
      <c r="B21" s="6" t="s">
        <v>275</v>
      </c>
      <c r="C21" s="12" t="n">
        <v>3</v>
      </c>
      <c r="D21" s="27" t="n">
        <f aca="false">固有振動数!$I$22</f>
        <v>66355.3861692162</v>
      </c>
      <c r="E21" s="33"/>
      <c r="F21" s="25" t="str">
        <f aca="false">IF(E21="","",(E21-D21)/D21*100)</f>
        <v/>
      </c>
      <c r="G21" s="24" t="str">
        <f aca="false">IF(E21="","",IF(ABS(F21)&lt;=5,"🟢 良く一致",IF(ABS(F21)&lt;=15,"🟡 まずまず","🔴 要確認(モード誤同定/寸法/E値を疑う)")))</f>
        <v/>
      </c>
      <c r="H21" s="8"/>
    </row>
    <row r="23" customFormat="false" ht="17.15" hidden="false" customHeight="false" outlineLevel="0" collapsed="false">
      <c r="A23" s="28" t="s">
        <v>327</v>
      </c>
      <c r="B23" s="28"/>
      <c r="C23" s="28"/>
      <c r="D23" s="28"/>
      <c r="E23" s="28"/>
      <c r="F23" s="28"/>
      <c r="G23" s="28"/>
      <c r="H23" s="28"/>
    </row>
    <row r="24" customFormat="false" ht="14.15" hidden="false" customHeight="false" outlineLevel="0" collapsed="false">
      <c r="A24" s="29" t="s">
        <v>328</v>
      </c>
      <c r="B24" s="29"/>
      <c r="C24" s="29"/>
      <c r="D24" s="29"/>
      <c r="E24" s="29"/>
      <c r="F24" s="29"/>
      <c r="G24" s="29"/>
      <c r="H24" s="29"/>
    </row>
    <row r="25" customFormat="false" ht="14.15" hidden="false" customHeight="false" outlineLevel="0" collapsed="false">
      <c r="A25" s="29" t="s">
        <v>329</v>
      </c>
      <c r="B25" s="29"/>
      <c r="C25" s="29"/>
      <c r="D25" s="29"/>
      <c r="E25" s="29"/>
      <c r="F25" s="29"/>
      <c r="G25" s="29"/>
      <c r="H25" s="29"/>
    </row>
    <row r="27" customFormat="false" ht="15" hidden="false" customHeight="false" outlineLevel="0" collapsed="false">
      <c r="A27" s="5" t="s">
        <v>330</v>
      </c>
      <c r="B27" s="2" t="s">
        <v>331</v>
      </c>
      <c r="C27" s="2"/>
      <c r="D27" s="7" t="s">
        <v>332</v>
      </c>
    </row>
    <row r="28" customFormat="false" ht="17.15" hidden="false" customHeight="false" outlineLevel="0" collapsed="false">
      <c r="A28" s="5" t="s">
        <v>333</v>
      </c>
      <c r="B28" s="27" t="n">
        <f aca="false">$D$5</f>
        <v>1954.13476023834</v>
      </c>
      <c r="D28" s="7" t="s">
        <v>334</v>
      </c>
    </row>
    <row r="29" customFormat="false" ht="17.15" hidden="false" customHeight="false" outlineLevel="0" collapsed="false">
      <c r="A29" s="5" t="s">
        <v>335</v>
      </c>
      <c r="B29" s="27" t="n">
        <f aca="false">$E$5</f>
        <v>0</v>
      </c>
    </row>
    <row r="30" customFormat="false" ht="17.15" hidden="false" customHeight="false" outlineLevel="0" collapsed="false">
      <c r="A30" s="5" t="s">
        <v>336</v>
      </c>
      <c r="B30" s="27" t="n">
        <f aca="false">断面!$E$9</f>
        <v>205</v>
      </c>
      <c r="D30" s="7" t="s">
        <v>337</v>
      </c>
    </row>
    <row r="31" customFormat="false" ht="17.15" hidden="false" customHeight="false" outlineLevel="0" collapsed="false">
      <c r="A31" s="5" t="s">
        <v>338</v>
      </c>
      <c r="B31" s="27" t="str">
        <f aca="false">IF(OR($B$29="",$B$28=0),"実測値を上の表に入力してください",$B$30*($B$29/$B$28)^2)</f>
        <v>実測値を上の表に入力してください</v>
      </c>
      <c r="D31" s="7" t="s">
        <v>339</v>
      </c>
    </row>
    <row r="33" customFormat="false" ht="15" hidden="false" customHeight="false" outlineLevel="0" collapsed="false">
      <c r="A33" s="28" t="s">
        <v>340</v>
      </c>
      <c r="B33" s="28"/>
      <c r="C33" s="28"/>
      <c r="D33" s="28"/>
      <c r="E33" s="28"/>
      <c r="F33" s="28"/>
      <c r="G33" s="28"/>
      <c r="H33" s="28"/>
    </row>
    <row r="34" customFormat="false" ht="14.15" hidden="false" customHeight="false" outlineLevel="0" collapsed="false">
      <c r="A34" s="2" t="s">
        <v>341</v>
      </c>
      <c r="B34" s="2"/>
      <c r="C34" s="2"/>
      <c r="D34" s="2"/>
      <c r="E34" s="2"/>
      <c r="F34" s="2"/>
      <c r="G34" s="2"/>
      <c r="H34" s="2"/>
    </row>
    <row r="35" customFormat="false" ht="14.15" hidden="false" customHeight="false" outlineLevel="0" collapsed="false">
      <c r="A35" s="2" t="s">
        <v>342</v>
      </c>
      <c r="B35" s="2"/>
      <c r="C35" s="2"/>
      <c r="D35" s="2"/>
      <c r="E35" s="2"/>
      <c r="F35" s="2"/>
      <c r="G35" s="2"/>
      <c r="H35" s="2"/>
    </row>
    <row r="36" customFormat="false" ht="14.15" hidden="false" customHeight="false" outlineLevel="0" collapsed="false">
      <c r="A36" s="2" t="s">
        <v>343</v>
      </c>
      <c r="B36" s="2"/>
      <c r="C36" s="2"/>
      <c r="D36" s="2"/>
      <c r="E36" s="2"/>
      <c r="F36" s="2"/>
      <c r="G36" s="2"/>
      <c r="H36" s="2"/>
    </row>
    <row r="37" customFormat="false" ht="14.15" hidden="false" customHeight="false" outlineLevel="0" collapsed="false">
      <c r="A37" s="2" t="s">
        <v>344</v>
      </c>
      <c r="B37" s="2"/>
      <c r="C37" s="2"/>
      <c r="D37" s="2"/>
      <c r="E37" s="2"/>
      <c r="F37" s="2"/>
      <c r="G37" s="2"/>
      <c r="H37" s="2"/>
    </row>
    <row r="38" customFormat="false" ht="14.15" hidden="false" customHeight="false" outlineLevel="0" collapsed="false">
      <c r="A38" s="2" t="s">
        <v>345</v>
      </c>
      <c r="B38" s="2"/>
      <c r="C38" s="2"/>
      <c r="D38" s="2"/>
      <c r="E38" s="2"/>
      <c r="F38" s="2"/>
      <c r="G38" s="2"/>
      <c r="H38" s="2"/>
    </row>
    <row r="39" customFormat="false" ht="14.15" hidden="false" customHeight="false" outlineLevel="0" collapsed="false">
      <c r="A39" s="2" t="s">
        <v>346</v>
      </c>
      <c r="B39" s="2"/>
      <c r="C39" s="2"/>
      <c r="D39" s="2"/>
      <c r="E39" s="2"/>
      <c r="F39" s="2"/>
      <c r="G39" s="2"/>
      <c r="H39" s="2"/>
    </row>
    <row r="40" customFormat="false" ht="14.15" hidden="false" customHeight="false" outlineLevel="0" collapsed="false">
      <c r="A40" s="2" t="s">
        <v>347</v>
      </c>
      <c r="B40" s="2"/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A41" s="2" t="s">
        <v>348</v>
      </c>
      <c r="B41" s="2"/>
      <c r="C41" s="2"/>
      <c r="D41" s="2"/>
      <c r="E41" s="2"/>
      <c r="F41" s="2"/>
      <c r="G41" s="2"/>
      <c r="H41" s="2"/>
    </row>
  </sheetData>
  <mergeCells count="15">
    <mergeCell ref="A1:H1"/>
    <mergeCell ref="A2:H2"/>
    <mergeCell ref="A23:H23"/>
    <mergeCell ref="A24:H24"/>
    <mergeCell ref="A25:H25"/>
    <mergeCell ref="B27:C27"/>
    <mergeCell ref="A33:H33"/>
    <mergeCell ref="A34:H34"/>
    <mergeCell ref="A35:H35"/>
    <mergeCell ref="A36:H36"/>
    <mergeCell ref="A37:H37"/>
    <mergeCell ref="A38:H38"/>
    <mergeCell ref="A39:H39"/>
    <mergeCell ref="A40:H40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2026-07-26T14:58:39Z</dcterms:created>
  <dc:creator>openpyxl</dc:creator>
  <dc:description/>
  <dc:language>en-US</dc:language>
  <cp:lastModifiedBy/>
  <dcterms:modified xsi:type="dcterms:W3CDTF">2026-07-26T15:02:30Z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